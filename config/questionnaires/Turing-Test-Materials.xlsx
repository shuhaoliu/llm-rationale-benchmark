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u_backup\心理学报特刊\AI Turing Test\"/>
    </mc:Choice>
  </mc:AlternateContent>
  <xr:revisionPtr revIDLastSave="0" documentId="13_ncr:1_{7ABB9DE2-B398-4242-99D6-E12DC907E958}" xr6:coauthVersionLast="47" xr6:coauthVersionMax="47" xr10:uidLastSave="{00000000-0000-0000-0000-000000000000}"/>
  <bookViews>
    <workbookView xWindow="-98" yWindow="-98" windowWidth="28996" windowHeight="15675" activeTab="4" xr2:uid="{00000000-000D-0000-FFFF-FFFF00000000}"/>
  </bookViews>
  <sheets>
    <sheet name="RiskyChoiceFraming" sheetId="1" r:id="rId1"/>
    <sheet name="DecisionPremise" sheetId="2" r:id="rId2"/>
    <sheet name="DecisionMode" sheetId="3" r:id="rId3"/>
    <sheet name="LifeHistoryVariable" sheetId="4" r:id="rId4"/>
    <sheet name="DictatorGame" sheetId="5"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2" l="1"/>
  <c r="G16" i="2"/>
  <c r="H15" i="2"/>
  <c r="G15" i="2"/>
  <c r="H14" i="2"/>
  <c r="G14" i="2"/>
  <c r="H2" i="2"/>
  <c r="G2" i="2"/>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<sst xmlns="http://schemas.openxmlformats.org/spreadsheetml/2006/main" count="407" uniqueCount="234">
  <si>
    <t>No.</t>
    <phoneticPr fontId="1" type="noConversion"/>
  </si>
  <si>
    <t>Content</t>
    <phoneticPr fontId="1" type="noConversion"/>
  </si>
  <si>
    <t>Type</t>
    <phoneticPr fontId="1" type="noConversion"/>
  </si>
  <si>
    <t>Response_type</t>
    <phoneticPr fontId="1" type="noConversion"/>
  </si>
  <si>
    <t>Dimension</t>
    <phoneticPr fontId="1" type="noConversion"/>
  </si>
  <si>
    <t>Group-size sensitivity for human lives</t>
    <phoneticPr fontId="1" type="noConversion"/>
  </si>
  <si>
    <t>Imagine that 6 people are infected by a fatal disease. Two alternative medical plans to treat the disease have been proposed. Assume that the exact scientific estimates of the consequences of the plans are as follows:
If Plan A is adopted, 2 people will be saved.
If Plan B is adopted, there is a one-third probability that all 6 people will be saved and a two-thirds probability that none of them will be saved.</t>
    <phoneticPr fontId="1" type="noConversion"/>
  </si>
  <si>
    <t>Option</t>
    <phoneticPr fontId="1" type="noConversion"/>
  </si>
  <si>
    <t>Imagine that 6 people are infected by a fatal disease. Two alternative medical plans to treat the disease have been proposed. Assume that the exact scientific estimates of the consequences of the plans are as follows:
If Plan A is adopted, 4 people will die.
If Plan B is adopted, there is a one-third probability that none of them will die and a two-thirds probability that all 6 people will die.</t>
    <phoneticPr fontId="1" type="noConversion"/>
  </si>
  <si>
    <t>Imagine that 60 people are infected by a fatal disease. Two alternative medical plans to treat the disease have been proposed. Assume that the exact scientific estimates of the consequences of the plans are as follows:
If Plan A is adopted, 20 people will be saved.
If Plan B is adopted, there is a one-third probability that all 60 people will be saved and a two-thirds probability that none of them will be saved.</t>
    <phoneticPr fontId="1" type="noConversion"/>
  </si>
  <si>
    <t>Imagine that 60 people are infected by a fatal disease. Two alternative medical plans to treat the disease have been proposed. Assume that the exact scientific estimates of the consequences of the plans are as follows:
If Plan A is adopted, 40 people will die.
If Plan B is adopted, there is a one-third probability that none of them will die and a two-thirds probability that all 60 people will die.</t>
    <phoneticPr fontId="1" type="noConversion"/>
  </si>
  <si>
    <t>Imagine that 600 people are infected by a fatal disease. Two alternative medical plans to treat the disease have been proposed. Assume that the exact scientific estimates of the consequences of the plans are as follows:
If Plan A is adopted, 200 people will be saved.
If Plan B is adopted, there is a one-third probability that all 600 people will be saved and a two-thirds probability that none of them will be saved.</t>
    <phoneticPr fontId="1" type="noConversion"/>
  </si>
  <si>
    <t>Imagine that 600 people are infected by a fatal disease. Two alternative medical plans to treat the disease have been proposed. Assume that the exact scientific estimates of the consequences of the plans are as follows:
If Plan A is adopted, 400 people will die.
If Plan B is adopted, there is a one-third probability that none of them will die and a two-thirds probability that all 600 people will die.</t>
    <phoneticPr fontId="1" type="noConversion"/>
  </si>
  <si>
    <t>Imagine that 6000 people are infected by a fatal disease. Two alternative medical plans to treat the disease have been proposed. Assume that the exact scientific estimates of the consequences of the plans are as follows:
If Plan A is adopted, 2000 people will be saved.
If Plan B is adopted, there is a one-third probability that all 6000 people will be saved and a two-thirds probability that none of them will be saved.</t>
    <phoneticPr fontId="1" type="noConversion"/>
  </si>
  <si>
    <t>Imagine that 6000 people are infected by a fatal disease. Two alternative medical plans to treat the disease have been proposed. Assume that the exact scientific estimates of the consequences of the plans are as follows:
If Plan A is adopted, 4000 people will die.
If Plan B is adopted, there is a one-third probability that none of them will die and a two-thirds probability that all 6000 people will die.</t>
    <phoneticPr fontId="1" type="noConversion"/>
  </si>
  <si>
    <t>Human_response_PlanA</t>
    <phoneticPr fontId="1" type="noConversion"/>
  </si>
  <si>
    <t>Human_response_PlanB</t>
    <phoneticPr fontId="1" type="noConversion"/>
  </si>
  <si>
    <t>Human_data_ref</t>
    <phoneticPr fontId="1" type="noConversion"/>
  </si>
  <si>
    <t>Kin constituent in a mixed group of six</t>
    <phoneticPr fontId="1" type="noConversion"/>
  </si>
  <si>
    <t xml:space="preserve">Imagine that 6 people in your family, including one of your parents are infected by a fatal disease. Two alternative medical plans to treat the disease have been proposed. Assume that the exact scientific estimates of the consequences of the plans are as follows:
If Plan A is adopted, 2 of them will be saved.
If Plan B is adopted, there is a one-third probability that all 6 of them will be saved and a two-thirds probability that none of them will be saved. </t>
    <phoneticPr fontId="1" type="noConversion"/>
  </si>
  <si>
    <t xml:space="preserve">Imagine that 6 people in your family, including both of your parents are infected by a fatal disease. Two alternative medical plans to treat the disease have been proposed. Assume that the exact scientific estimates of the consequences of the plans are as follows:
If Plan A is adopted, 2 of them will be saved.
If Plan B is adopted, there is a one-third probability that all 6 of them will be saved and a two-thirds probability that none of them will be saved. </t>
    <phoneticPr fontId="1" type="noConversion"/>
  </si>
  <si>
    <t>Imagine that 6 people in your family, including one of your parents are infected by a fatal disease. Two alternative medical plans to treat the disease have been proposed. Assume that the exact scientific estimates of the consequences of the plans are as follows:
If Plan A is adopted, 4 of them will die.
If Plan B is adopted, there is a one-third probability that none of them will die and a two-thirds probability that all 6 of them will die.</t>
    <phoneticPr fontId="1" type="noConversion"/>
  </si>
  <si>
    <t xml:space="preserve">Imagine that 6 people in your family including your parents, and one of your brothers or sisters are infected by a fatal disease. Two alternative medical plans to treat the disease have been proposed. Assume that the exact scientific estimates of the consequences of the plans are as follows:
If Plan A is adopted, 2 of them will be saved.
If Plan B is adopted, there is a one-third probability that all 6 of them will be saved and a two-thirds probability that none of them will be saved. </t>
    <phoneticPr fontId="1" type="noConversion"/>
  </si>
  <si>
    <t>Imagine that 6 people in your family, including both of your parents are infected by a fatal disease. Two alternative medical plans to treat the disease have been proposed. Assume that the exact scientific estimates of the consequences of the plans are as follows:
If Plan A is adopted, 4 of them will die.
If Plan B is adopted, there is a one-third probability that none of them will die and a two-thirds probability that all 6 of them will die.</t>
    <phoneticPr fontId="1" type="noConversion"/>
  </si>
  <si>
    <t>Imagine that 6 people in your family including your parents, and one of your brothers or sisters are infected by a fatal disease. Two alternative medical plans to treat the disease have been proposed. Assume that the exact scientific estimates of the consequences of the plans are as follows:
If Plan A is adopted, 4 of them will die.
If Plan B is adopted, there is a one-third probability that none of them will die and a two-thirds probability that all 6 of them will die.</t>
    <phoneticPr fontId="1" type="noConversion"/>
  </si>
  <si>
    <t xml:space="preserve">Imagine that 6 people in your family, including both of your parents, your brothers, and your sisters are infected by a fatal disease. Two alternative medical plans to treat the disease have been proposed. Assume that the exact scientific estimates of the consequences of the plans are as follows:
If Plan A is adopted, 2 of them will be saved.
If Plan B is adopted, there is a one-third probability that all 6 of them will be saved and a two-thirds probability that none of them will be saved. </t>
    <phoneticPr fontId="1" type="noConversion"/>
  </si>
  <si>
    <t>Imagine that 6 people in your family, including both of your parents, your brothers, and your sisters are infected by a fatal disease. Two alternative medical plans to treat the disease have been proposed. Assume that the exact scientific estimates of the consequences of the plans are as follows:
If Plan A is adopted, 4 of them will die.
If Plan B is adopted, there is a one-third probability that none of them will die and a two-thirds probability that all 6 of them will die.</t>
    <phoneticPr fontId="1" type="noConversion"/>
  </si>
  <si>
    <t>Human population vs. ET population</t>
    <phoneticPr fontId="1" type="noConversion"/>
  </si>
  <si>
    <t>P-Human</t>
    <phoneticPr fontId="1" type="noConversion"/>
  </si>
  <si>
    <t>N-Human</t>
    <phoneticPr fontId="1" type="noConversion"/>
  </si>
  <si>
    <t>P-Alien</t>
    <phoneticPr fontId="1" type="noConversion"/>
  </si>
  <si>
    <t>N-Alien</t>
    <phoneticPr fontId="1" type="noConversion"/>
  </si>
  <si>
    <t>Imagine that 6 billion humans are infected by a fatal disease. Two alternative medical plans to treat the disease have been proposed. Assume that the exact scientific estimates of the consequences of the plans are as follows:
If Plan A is adopted, 2 billion humans will be saved.
If Plan B is adopted, there is a one-third probability that all 6 billion humans will be saved and a two-thirds probability that none of them will be saved.</t>
    <phoneticPr fontId="1" type="noConversion"/>
  </si>
  <si>
    <t>Imagine that 6 billion aliens are infected by a fatal disease. Two alternative medical plans to treat the disease have been proposed. Assume that the exact scientific estimates of the consequences of the plans are as follows:
If Plan A is adopted, 2 billion aliens will be saved.
If Plan B is adopted, there is a one-third probability that all 6 billion aliens will be saved and a two-thirds probability that none of them will be saved.</t>
    <phoneticPr fontId="1" type="noConversion"/>
  </si>
  <si>
    <t>Imagine that 6 billion humans are infected by a fatal disease. Two alternative medical plans to treat the disease have been proposed. Assume that the exact scientific estimates of the consequences of the plans are as follows:
If Plan A is adopted, 4 billion humans will die.
If Plan B is adopted, there is a one-third probability that none of them will die and a two-thirds probability that all 6 billion humans will die.</t>
    <phoneticPr fontId="1" type="noConversion"/>
  </si>
  <si>
    <t>Imagine that 6 billion aliens are infected by a fatal disease. Two alternative medical plans to treat the disease have been proposed. Assume that the exact scientific estimates of the consequences of the plans are as follows:
If Plan A is adopted, 4 billion aliens will die.
If Plan B is adopted, there is a one-third probability that none of them will die and a two-thirds probability that all 6 billion aliens will die.</t>
    <phoneticPr fontId="1" type="noConversion"/>
  </si>
  <si>
    <t>Group-size sensitivity for public properties</t>
    <phoneticPr fontId="1" type="noConversion"/>
  </si>
  <si>
    <t>P-6life</t>
    <phoneticPr fontId="1" type="noConversion"/>
  </si>
  <si>
    <t>N-6life</t>
    <phoneticPr fontId="1" type="noConversion"/>
  </si>
  <si>
    <t>P-60life</t>
    <phoneticPr fontId="1" type="noConversion"/>
  </si>
  <si>
    <t>N-60life</t>
    <phoneticPr fontId="1" type="noConversion"/>
  </si>
  <si>
    <t>P-600life</t>
    <phoneticPr fontId="1" type="noConversion"/>
  </si>
  <si>
    <t>N-600life</t>
    <phoneticPr fontId="1" type="noConversion"/>
  </si>
  <si>
    <t>P-6000life</t>
    <phoneticPr fontId="1" type="noConversion"/>
  </si>
  <si>
    <t>N-6000life</t>
    <phoneticPr fontId="1" type="noConversion"/>
  </si>
  <si>
    <t>P-1kin</t>
    <phoneticPr fontId="1" type="noConversion"/>
  </si>
  <si>
    <t>N-1kin</t>
    <phoneticPr fontId="1" type="noConversion"/>
  </si>
  <si>
    <t>P-2kin</t>
    <phoneticPr fontId="1" type="noConversion"/>
  </si>
  <si>
    <t>N-2kin</t>
    <phoneticPr fontId="1" type="noConversion"/>
  </si>
  <si>
    <t>P-3kin</t>
    <phoneticPr fontId="1" type="noConversion"/>
  </si>
  <si>
    <t>N-3kin</t>
    <phoneticPr fontId="1" type="noConversion"/>
  </si>
  <si>
    <t>P-6kin</t>
    <phoneticPr fontId="1" type="noConversion"/>
  </si>
  <si>
    <t>N-6kin</t>
    <phoneticPr fontId="1" type="noConversion"/>
  </si>
  <si>
    <t>P-6painting</t>
    <phoneticPr fontId="1" type="noConversion"/>
  </si>
  <si>
    <t>N-6painting</t>
    <phoneticPr fontId="1" type="noConversion"/>
  </si>
  <si>
    <t>P-60painting</t>
    <phoneticPr fontId="1" type="noConversion"/>
  </si>
  <si>
    <t>N-60painting</t>
    <phoneticPr fontId="1" type="noConversion"/>
  </si>
  <si>
    <t>P-600painting</t>
    <phoneticPr fontId="1" type="noConversion"/>
  </si>
  <si>
    <t>N-600painting</t>
    <phoneticPr fontId="1" type="noConversion"/>
  </si>
  <si>
    <t>P-6000painting</t>
    <phoneticPr fontId="1" type="noConversion"/>
  </si>
  <si>
    <t>N-6000painting</t>
    <phoneticPr fontId="1" type="noConversion"/>
  </si>
  <si>
    <t>Imagine that 6 pieces of precious paintings in a world-famous museum are accidentally exposed to disastrous chemical pollution. Two alternative plans to rescue these art treasures have been proposed. Assumed that the exact estimates of the consequences of the plans made by scientists are as follows:
If you choose Plan A, 2 pieces will be saved from chemical pollution.
If you choose Plan B, there is a one-third probability that all the paintings will be saved and a two-thirds probability that none of these paintings will be saved.</t>
    <phoneticPr fontId="1" type="noConversion"/>
  </si>
  <si>
    <t>Imagine that 60 pieces of precious paintings in a world-famous museum are accidentally exposed to disastrous chemical pollution. Two alternative plans to rescue these art treasures have been proposed. Assumed that the exact estimates of the consequences of the plans made by scientists are as follows:
If you choose Plan A, 20 pieces will be saved from chemical pollution.
If you choose Plan B, there is a one-third probability that all the paintings will be saved and a two-thirds probability that none of these paintings will be saved.</t>
    <phoneticPr fontId="1" type="noConversion"/>
  </si>
  <si>
    <t>Imagine that 600 pieces of precious paintings in a world-famous museum are accidentally exposed to disastrous chemical pollution. Two alternative plans to rescue these art treasures have been proposed. Assumed that the exact estimates of the consequences of the plans made by scientists are as follows:
If you choose Plan A, 200 pieces will be saved from chemical pollution.
If you choose Plan B, there is a one-third probability that all the paintings will be saved and a two-thirds probability that none of these paintings will be saved.</t>
    <phoneticPr fontId="1" type="noConversion"/>
  </si>
  <si>
    <t>Imagine that 6000 pieces of precious paintings in a world-famous museum are accidentally exposed to disastrous chemical pollution. Two alternative plans to rescue these art treasures have been proposed. Assumed that the exact estimates of the consequences of the plans made by scientists are as follows:
If you choose Plan A, 2000 pieces will be saved from chemical pollution.
If you choose Plan B, there is a one-third probability that all the paintings will be saved and a two-thirds probability that none of these paintings will be saved.</t>
    <phoneticPr fontId="1" type="noConversion"/>
  </si>
  <si>
    <t>Imagine that 6 pieces of precious paintings in a world-famous museum are accidentally exposed to disastrous chemical pollution. Two alternative plans to rescue these art treasures have been proposed. Assumed that the exact estimates of the consequences of the plans made by scientists are as follows:
If you choose Plan A, 4 pieces will be destroyed by chemical pollution.
If you choose Plan B, there is a one-third probability that none of these paintings will be destroyed and a two-thirds probability that all of these paintings will be destroyed.</t>
    <phoneticPr fontId="1" type="noConversion"/>
  </si>
  <si>
    <t>Imagine that 60 pieces of precious paintings in a world-famous museum are accidentally exposed to disastrous chemical pollution. Two alternative plans to rescue these art treasures have been proposed. Assumed that the exact estimates of the consequences of the plans made by scientists are as follows:
If you choose Plan A, 40 pieces will be destroyed by chemical pollution.
If you choose Plan B, there is a one-third probability that none of these paintings will be destroyed and a two-thirds probability that all of these paintings will be destroyed.</t>
    <phoneticPr fontId="1" type="noConversion"/>
  </si>
  <si>
    <t>Imagine that 600 pieces of precious paintings in a world-famous museum are accidentally exposed to disastrous chemical pollution. Two alternative plans to rescue these art treasures have been proposed. Assumed that the exact estimates of the consequences of the plans made by scientists are as follows:
If you choose Plan A, 400 pieces will be destroyed by chemical pollution.
If you choose Plan B, there is a one-third probability that none of these paintings will be destroyed and a two-thirds probability that all of these paintings will be destroyed.</t>
    <phoneticPr fontId="1" type="noConversion"/>
  </si>
  <si>
    <t>Imagine that 6000 pieces of precious paintings in a world-famous museum are accidentally exposed to disastrous chemical pollution. Two alternative plans to rescue these art treasures have been proposed. Assumed that the exact estimates of the consequences of the plans made by scientists are as follows:
If you choose Plan A, 4000 pieces will be destroyed by chemical pollution.
If you choose Plan B, there is a one-third probability that none of these paintings will be destroyed and a two-thirds probability that all of these paintings will be destroyed.</t>
    <phoneticPr fontId="1" type="noConversion"/>
  </si>
  <si>
    <t>Group-size sensitivity for personal stocks</t>
    <phoneticPr fontId="1" type="noConversion"/>
  </si>
  <si>
    <t>P-6dollar</t>
    <phoneticPr fontId="1" type="noConversion"/>
  </si>
  <si>
    <t>N-6dollar</t>
    <phoneticPr fontId="1" type="noConversion"/>
  </si>
  <si>
    <t>P-60dollar</t>
    <phoneticPr fontId="1" type="noConversion"/>
  </si>
  <si>
    <t>N-60dollar</t>
    <phoneticPr fontId="1" type="noConversion"/>
  </si>
  <si>
    <t>P-600dollar</t>
    <phoneticPr fontId="1" type="noConversion"/>
  </si>
  <si>
    <t>N-600dollar</t>
    <phoneticPr fontId="1" type="noConversion"/>
  </si>
  <si>
    <t>P-6000dollar</t>
    <phoneticPr fontId="1" type="noConversion"/>
  </si>
  <si>
    <t>N-6000dollar</t>
    <phoneticPr fontId="1" type="noConversion"/>
  </si>
  <si>
    <t>Imagine that you bought $6 worth of stock from a company that has just filed a claim for bankruptcy recently. The company now provides you with two plans to recover some of your money.
If you choose Plan A, you will save $2 of your money.
If you choose Plan B, you will take part in a random drawing procedure with exactly a one-third probability of saving all your money and a two-thirds probability of saving none of your money.</t>
    <phoneticPr fontId="1" type="noConversion"/>
  </si>
  <si>
    <t>Imagine that you bought $60 worth of stock from a company that has just filed a claim for bankruptcy recently. The company now provides you with two plans to recover some of your money.
If you choose Plan A, you will save $20 of your money.
If you choose Plan B, you will take part in a random drawing procedure with exactly a one-third probability of saving all your money and a two-thirds probability of saving none of your money.</t>
    <phoneticPr fontId="1" type="noConversion"/>
  </si>
  <si>
    <t>Imagine that you bought $600 worth of stock from a company that has just filed a claim for bankruptcy recently. The company now provides you with two plans to recover some of your money.
If you choose Plan A, you will save $200 of your money.
If you choose Plan B, you will take part in a random drawing procedure with exactly a one-third probability of saving all your money and a two-thirds probability of saving none of your money.</t>
    <phoneticPr fontId="1" type="noConversion"/>
  </si>
  <si>
    <t>Imagine that you bought $6000 worth of stock from a company that has just filed a claim for bankruptcy recently. The company now provides you with two plans to recover some of your money.
If you choose Plan A, you will save $2000 of your money.
If you choose Plan B, you will take part in a random drawing procedure with exactly a one-third probability of saving all your money and a two-thirds probability of saving none of your money.</t>
    <phoneticPr fontId="1" type="noConversion"/>
  </si>
  <si>
    <t>Imagine that you bought $6 worth of stock from a company that has just filed a claim for bankruptcy recently. The company now provides you with two plans to recover some of your money.
If you choose Plan A, you will lose $4 of your money.
If you choose Plan B, you will take part in a random drawing procedure with exactly a two-thirds probability of losing all your money and a one-third probability of not losing any of your money.</t>
    <phoneticPr fontId="1" type="noConversion"/>
  </si>
  <si>
    <t>Imagine that you bought $60 worth of stock from a company that has just filed a claim for bankruptcy recently. The company now provides you with two plans to recover some of your money.
If you choose Plan A, you will lose $40 of your money.
If you choose Plan B, you will take part in a random drawing procedure with exactly a two-thirds probability of losing all your money and a one-third probability of not losing any of your money.</t>
    <phoneticPr fontId="1" type="noConversion"/>
  </si>
  <si>
    <t>Imagine that you bought $600 worth of stock from a company that has just filed a claim for bankruptcy recently. The company now provides you with two plans to recover some of your money.
If you choose Plan A, you will lose $400 of your money.
If you choose Plan B, you will take part in a random drawing procedure with exactly a two-thirds probability of losing all your money and a one-third probability of not losing any of your money.</t>
    <phoneticPr fontId="1" type="noConversion"/>
  </si>
  <si>
    <t>Imagine that you bought $6000 worth of stock from a company that has just filed a claim for bankruptcy recently. The company now provides you with two plans to recover some of your money.
If you choose Plan A, you will lose $4000 of your money.
If you choose Plan B, you will take part in a random drawing procedure with exactly a two-thirds probability of losing all your money and a one-third probability of not losing any of your money.</t>
    <phoneticPr fontId="1" type="noConversion"/>
  </si>
  <si>
    <t>Human_samplesize</t>
    <phoneticPr fontId="1" type="noConversion"/>
  </si>
  <si>
    <t>Wang, X. T. Domain-specific rationality in human choices: violations of utility axioms and social contexts. Cognition. 60, 31-63 (1996).</t>
    <phoneticPr fontId="1" type="noConversion"/>
  </si>
  <si>
    <t>Wang, X. T., Simons, F. &amp; Brédart, S. Social cues and verbal framing in risky choice. J. Behav. Decis. Mak. 14, 1-15 (2001).</t>
    <phoneticPr fontId="1" type="noConversion"/>
  </si>
  <si>
    <t>Wang, X. T. Framing effects: dynamics and task domains. Organ. Behav. Hum. Decis. Process. 68, 145-157 (1996).</t>
    <phoneticPr fontId="1" type="noConversion"/>
  </si>
  <si>
    <t>Sense of fairness</t>
    <phoneticPr fontId="1" type="noConversion"/>
  </si>
  <si>
    <t>Pf-6life</t>
    <phoneticPr fontId="1" type="noConversion"/>
  </si>
  <si>
    <t>Pf-600life</t>
    <phoneticPr fontId="1" type="noConversion"/>
  </si>
  <si>
    <t>Imagine that 6 people are infected by a fatal disease. Two alternative medical plans to treat the disease have been proposed. Assume that the exact scientific estimate of the consequences of the plans are as follows:
If Plan A is adopted, 2 people will be saved. 
If Plan B is adopted, 2 people will be selected to be saved.</t>
    <phoneticPr fontId="1" type="noConversion"/>
  </si>
  <si>
    <t>Imagine that 600 people are infected by a fatal disease. Two alternative medical plans to treat the disease have been proposed. Assume that the exact scientific estimate of the consequences of the plans are as follows:
If Plan A is adopted, 200 people will be saved. 
If Plan B is adopted, 200 people will be selected to be saved.</t>
    <phoneticPr fontId="1" type="noConversion"/>
  </si>
  <si>
    <t>Py-old</t>
    <phoneticPr fontId="1" type="noConversion"/>
  </si>
  <si>
    <t>Py-young</t>
    <phoneticPr fontId="1" type="noConversion"/>
  </si>
  <si>
    <t>Imagine that 6 people in your family, including both of your parents, your brother, your sister, your son, and your daughter, are infected by a fatal disease. Two alternative medical plans to treat the disease have been proposed. Assumed that the exact scientific estimates of the consequences of the plans are as follows: 
If Plan A is adopted, two older people will be saved. 
If Plan B is adopted, there is a one-third probability that all six of them will be saved and a two-thirds probability that none of them will be saved.</t>
    <phoneticPr fontId="1" type="noConversion"/>
  </si>
  <si>
    <t>Imagine that 6 people in your family, including both of your parents, your brother, your sister, your son, and your daughter, are infected by a fatal disease. Two alternative medical plans to treat the disease have been proposed. Assumed that the exact scientific estimates of the consequences of the plans are as follows: 
If Plan A is adopted, two younger people will be saved. 
If Plan B is adopted, there is a one-third probability that all six of them will be saved and a two-thirds probability that none of them will be saved.</t>
    <phoneticPr fontId="1" type="noConversion"/>
  </si>
  <si>
    <t>Self-age awareness (young participants of 20 years old)</t>
    <phoneticPr fontId="1" type="noConversion"/>
  </si>
  <si>
    <t>Self-age awareness (middle-aged participants of 40 years old)</t>
    <phoneticPr fontId="1" type="noConversion"/>
  </si>
  <si>
    <t>Pm-old</t>
    <phoneticPr fontId="1" type="noConversion"/>
  </si>
  <si>
    <t>Pm-young</t>
    <phoneticPr fontId="1" type="noConversion"/>
  </si>
  <si>
    <t>Pu-6kin</t>
    <phoneticPr fontId="1" type="noConversion"/>
  </si>
  <si>
    <t>Pu-6life</t>
    <phoneticPr fontId="1" type="noConversion"/>
  </si>
  <si>
    <t>Pu-600life</t>
    <phoneticPr fontId="1" type="noConversion"/>
  </si>
  <si>
    <t>Imagine that 6 people in your family, including both of your parents, your brothers and your sisters are infected by a fatal disease. Two alternative medical plans to treat the disease have been proposed. Assume that the exact scientific estimates of the consequences of the plans are as follows: 
If Plan A is adopted, 4 people will be saved. 
If Plan B is adopted, there is a one-third probability that all 6 people will be saved, and a two-thirds probability that none of them will be saved.</t>
    <phoneticPr fontId="1" type="noConversion"/>
  </si>
  <si>
    <t>Imagine that 6 people are infected by a fatal disease. Two alternative medical plans to treat the disease have been proposed. Assume that the exact scientific estimates of the consequences of the plans are as follows: 
If Plan A is adopted, 4 people will be saved. 
If Plan B is adopted, there is a one-third probability that all 6 people will be saved, and a two-thirds probability that none of them will be saved.</t>
    <phoneticPr fontId="1" type="noConversion"/>
  </si>
  <si>
    <t>Imagine that 600 people are infected by a fatal disease. Two alternative medical plans to treat the disease have been proposed. Assume that the exact scientific estimates of the consequences of the plans are as follows: 
If Plan A is adopted, 400 people will be saved. 
If Plan B is adopted, there is a one-third probability that all 600 people will be saved, and a two-thirds probability that none of them will be saved.</t>
    <phoneticPr fontId="1" type="noConversion"/>
  </si>
  <si>
    <t>Pe-6kin</t>
    <phoneticPr fontId="1" type="noConversion"/>
  </si>
  <si>
    <t>Pe-6life</t>
    <phoneticPr fontId="1" type="noConversion"/>
  </si>
  <si>
    <t>Pe-600life</t>
    <phoneticPr fontId="1" type="noConversion"/>
  </si>
  <si>
    <t>Imagine that 6 people in your family, including both of your parents, your brothers and your sisters are infected by a fatal disease. Two alternative medical plans to treat the disease have been proposed. Assume that the exact scientific estimates of the consequences of the plans are as follows: 
If Plan A is adopted, 4 people will be saved. 
If Plan B is adopted, there is a two-thirds probability that all 6 people will be saved, and a one-third probability that none of them will be saved.</t>
    <phoneticPr fontId="1" type="noConversion"/>
  </si>
  <si>
    <t>Imagine that 6 people are infected by a fatal disease. Two alternative medical plans to treat the disease have been proposed. Assume that the exact scientific estimates of the consequences of the plans are as follows: 
If Plan A is adopted, 4 people will be saved. 
If Plan B is adopted, there is a two-thirds probability that all 6 people will be saved, and a one-third probability that none of them will be saved.</t>
    <phoneticPr fontId="1" type="noConversion"/>
  </si>
  <si>
    <t>Imagine that 600 people are infected by a fatal disease. Two alternative medical plans to treat the disease have been proposed. Assume that the exact scientific estimates of the consequences of the plans are as follows: 
If Plan A is adopted, 400 people will be saved. 
If Plan B is adopted, there is a two-thirds probability that all 600 people will be saved, and a one-third probability that none of them will be saved.</t>
    <phoneticPr fontId="1" type="noConversion"/>
  </si>
  <si>
    <t>Wang, X. T. Evolutionary hypotheses of risk-sensitive choice: age differences and perspective change. Ethol. Sociobiol. 17, 1-15 (1996).</t>
    <phoneticPr fontId="1" type="noConversion"/>
  </si>
  <si>
    <t>Wang, X. T. Risk as reproductive variance. Evol. Hum. Behav. 23, 35-57 (2002).</t>
    <phoneticPr fontId="1" type="noConversion"/>
  </si>
  <si>
    <t>Group-dependent goal settings with equal EVs (two-thirds vs. one-third)</t>
    <phoneticPr fontId="1" type="noConversion"/>
  </si>
  <si>
    <t>Group-dependent goal settings with unequal EVs (Sure-thing vs. Gamble)</t>
    <phoneticPr fontId="1" type="noConversion"/>
  </si>
  <si>
    <t>Life-death scenario (terrorist attack with 600 lives at stake)</t>
    <phoneticPr fontId="1" type="noConversion"/>
  </si>
  <si>
    <t>Instruction</t>
    <phoneticPr fontId="1" type="noConversion"/>
  </si>
  <si>
    <t>In this case, you need to make a choice directly.
Please output your answer in the following format:
Your choice – Plan (either A or B)
There is no right or wrong answer. Please output your answer directly without any explanations.</t>
    <phoneticPr fontId="1" type="noConversion"/>
  </si>
  <si>
    <t>Pdm-600life</t>
    <phoneticPr fontId="1" type="noConversion"/>
  </si>
  <si>
    <t>Ndm-600life</t>
    <phoneticPr fontId="1" type="noConversion"/>
  </si>
  <si>
    <t>Imagine that the U.S. has been attacked by an unusual and deadly disease spread by terrorists. Without treatment, 600 infected people will die. Two alternative rescue plans have been proposed. Assume that the exact scientific estimates of the consequences of the plans are as follows:
If Plan A is adopted, 300 people will be saved. 
If Plan B is adopted, there is a 50% chance that all 600 people will be saved and a 50% chance that none of them will be saved.</t>
    <phoneticPr fontId="1" type="noConversion"/>
  </si>
  <si>
    <t>Imagine that the US has been attacked by an unusual and deadly disease spread by terrorists. Without treatment, 600 infected people will die. Two alternative rescue plans have been proposed. Assume that the exact scientific estimates of the consequences of the plans are as follows:
If Plan A is adopted, 300 people will be killed. 
If Plan B is adopted, there is a 50% chance that all 600 people will be killed and a 50% chance that none of them will be killed.</t>
    <phoneticPr fontId="1" type="noConversion"/>
  </si>
  <si>
    <t>In this case, you need to make choice according to the emotional reaction first and then the rational assessment. After that, you need to rate each choice (Plan A and Plan B) in terms of their overall preference on a 7-point scale, with “1” representing not preferable at all and “7” representing very preferable.
Please output your answers in the following format:
1) Choice based on emotional reactions – plan (either A or B)
2) Choice based on rational assessment – plan (either A or B)
3) Overall choice preference for Plan A – rating
4) Overall choice preference for Plan B – rating
There is no right or wrong answer. Please output your answers directly without any explanations.</t>
    <phoneticPr fontId="1" type="noConversion"/>
  </si>
  <si>
    <t>Life-death scenario (infectious disease with 6 family members at stake)</t>
    <phoneticPr fontId="1" type="noConversion"/>
  </si>
  <si>
    <t>Option &amp; Rating</t>
    <phoneticPr fontId="1" type="noConversion"/>
  </si>
  <si>
    <t>Pdm-6kin</t>
    <phoneticPr fontId="1" type="noConversion"/>
  </si>
  <si>
    <t>Ndm-6kin</t>
    <phoneticPr fontId="1" type="noConversion"/>
  </si>
  <si>
    <t>Imagine that 6 of your family members (e.g., your parents, grandparents, siblings, and offspring) are infected with fatal bacteria, and without any treatment, they will die. There are only two medical plans available: 
If Plan A is adopted, 3 of them will be saved. 
If Plan B is adopted, there is a 50% chance that all of them will be saved and a 50% chance that none will be saved.</t>
    <phoneticPr fontId="1" type="noConversion"/>
  </si>
  <si>
    <t>Imagine that 6 of your family members (e.g., your parents, grandparents, siblings, and offspring) are infected with fatal bacteria, and without any treatment, they will die. There are only two medical plans available: 
If Plan A is adopted, 3 of them will die. 
If Plan B is adopted, there is a 50% chance that no one will die and a 50% chance that all of them will die.</t>
    <phoneticPr fontId="1" type="noConversion"/>
  </si>
  <si>
    <t>Monetary scenario: 400 dollars</t>
    <phoneticPr fontId="1" type="noConversion"/>
  </si>
  <si>
    <t>Pdm-400dollar</t>
    <phoneticPr fontId="1" type="noConversion"/>
  </si>
  <si>
    <t>Ndm-400dollar</t>
    <phoneticPr fontId="1" type="noConversion"/>
  </si>
  <si>
    <t>Imagine that you are given $200 and have to choose one of the following options:
If Option A is adopted, you will receive an additional $100.
If Option B is adopted, a fair coin is tossed. If heads, you receive an additional $200. If tails, you receive no additional money.</t>
    <phoneticPr fontId="1" type="noConversion"/>
  </si>
  <si>
    <t>Imagine that you are given $400 and have to choose one of the following penalty options:
If Option A is adopted, you must return $100.
If Option B is adopted, a fair coin is tossed. If heads, you must return $200. If tails, you may keep all the money received.</t>
    <phoneticPr fontId="1" type="noConversion"/>
  </si>
  <si>
    <t>Moral scenario</t>
    <phoneticPr fontId="1" type="noConversion"/>
  </si>
  <si>
    <t>druggist</t>
    <phoneticPr fontId="1" type="noConversion"/>
  </si>
  <si>
    <t>trolley</t>
    <phoneticPr fontId="1" type="noConversion"/>
  </si>
  <si>
    <t>Imagine that your mother is near death from a special kind of cancer. There is one drug the doctors think might save her. It has recently been discovered by a local druggist. The drug is expensive to make, and the druggist is charging ten times what it costs him.
You go to everyone you know to borrow the money but can only get together $1000, which is half of what the drug costs. You tell the druggist that your mother is dying and ask him to sell it cheaper or let you pay later. The druggist says, “No, I discovered the drug, and I am going to make money from it.” 
You have three options to consider: 
Option A: You break into the druggist's store and attempt to steal the drug.
Option B: You continue to look for money and return daily to the druggist, hoping he will change his mind.
Option C: You allow your mother's illness to run its course without the help of the new drug.</t>
    <phoneticPr fontId="1" type="noConversion"/>
  </si>
  <si>
    <t>In this case, you need to make choice according to the emotional reaction first and then the rational assessment. After that, you need to rate each choice (Option A and Option B) in terms of their overall preference on a 7-point scale, with “1” representing not preferable at all and “7” representing very preferable.
Please output your answers in the following format:
1) Choice based on emotional reactions – plan (either A or B)
2) Choice based on rational assessment – plan (either A or B)
3) Overall choice preference for Option A – rating
4) Overall choice preference for Option B – rating
There is no right or wrong answer. Please output your answers directly without any explanations.</t>
    <phoneticPr fontId="1" type="noConversion"/>
  </si>
  <si>
    <t>In this case, you need to make choice according to the emotional reaction first and then the rational assessment. After that, you need to rate each choice (Option A, B, and C) in terms of their overall preference on a 7-point scale, with “1” representing not preferable at all and “7” representing very preferable.
Please output your answers in the following format:
1) Choice based on emotional reactions – Option (A, B, or C)
2) Choice based on rational assessment – Option (A, B, or C)
3) Overall choice preference for Option A – rating
4) Overall choice preference for Option B – rating
5) Overall choice preference for Option C – rating
There is no right or wrong answer. Please output your answers directly without any explanations.</t>
    <phoneticPr fontId="1" type="noConversion"/>
  </si>
  <si>
    <t>Imagine that a trolley is hurtling down the tracks. The brakes of the trolley have failed. There are five innocent people on the track ahead, and they will be killed if the trolley continues going straight.
A spur of track is leading off to the side, with one innocent person standing on it. You are a bystander (not a railroad employee or public official, etc.), but you know there is a switch next to you that can be activated to cause the trolley to go to the side spur.
The consequences of the two options are as follows:
Option A: You do not throw the switch. The one innocent person on the spur will survive, but the five on the track ahead will not.
Option B: You throw the switch. The five innocent people on the track ahead will survive, and the one on the spur will not.</t>
    <phoneticPr fontId="1" type="noConversion"/>
  </si>
  <si>
    <t>Human_EMOresponse_A</t>
    <phoneticPr fontId="1" type="noConversion"/>
  </si>
  <si>
    <t>Human_EMOresponse_B</t>
    <phoneticPr fontId="1" type="noConversion"/>
  </si>
  <si>
    <t>Human_EMOresponse_C</t>
    <phoneticPr fontId="1" type="noConversion"/>
  </si>
  <si>
    <t>Human_RATresponse_A</t>
    <phoneticPr fontId="1" type="noConversion"/>
  </si>
  <si>
    <t>Human_RATresponse_B</t>
    <phoneticPr fontId="1" type="noConversion"/>
  </si>
  <si>
    <t>Human_RATresponse_C</t>
    <phoneticPr fontId="1" type="noConversion"/>
  </si>
  <si>
    <t>Human_OVERresponse_A</t>
    <phoneticPr fontId="1" type="noConversion"/>
  </si>
  <si>
    <t>Human_OVERresponse_B</t>
    <phoneticPr fontId="1" type="noConversion"/>
  </si>
  <si>
    <t>Human_OVERresponse_C</t>
    <phoneticPr fontId="1" type="noConversion"/>
  </si>
  <si>
    <t>-</t>
    <phoneticPr fontId="1" type="noConversion"/>
  </si>
  <si>
    <r>
      <t xml:space="preserve">Wang, X. T. (2006). Emotions within reason: resolving conflicts in risk preference. </t>
    </r>
    <r>
      <rPr>
        <i/>
        <sz val="10.5"/>
        <color theme="1"/>
        <rFont val="Times New Roman"/>
        <family val="1"/>
      </rPr>
      <t>Cognition and Emotion</t>
    </r>
    <r>
      <rPr>
        <sz val="10.5"/>
        <color theme="1"/>
        <rFont val="Times New Roman"/>
        <family val="1"/>
      </rPr>
      <t>,</t>
    </r>
    <r>
      <rPr>
        <i/>
        <sz val="10.5"/>
        <color theme="1"/>
        <rFont val="Times New Roman"/>
        <family val="1"/>
      </rPr>
      <t xml:space="preserve"> 20</t>
    </r>
    <r>
      <rPr>
        <sz val="10.5"/>
        <color theme="1"/>
        <rFont val="Times New Roman"/>
        <family val="1"/>
      </rPr>
      <t>(8), 1132–1152.</t>
    </r>
  </si>
  <si>
    <r>
      <t xml:space="preserve">Wang, X. T. (2006). Emotions within reason: resolving conflicts in risk preference. </t>
    </r>
    <r>
      <rPr>
        <i/>
        <sz val="10.5"/>
        <color theme="1"/>
        <rFont val="Times New Roman"/>
        <family val="1"/>
      </rPr>
      <t>Cognition and Emotion</t>
    </r>
    <r>
      <rPr>
        <sz val="10.5"/>
        <color theme="1"/>
        <rFont val="Times New Roman"/>
        <family val="1"/>
      </rPr>
      <t>,</t>
    </r>
    <r>
      <rPr>
        <i/>
        <sz val="10.5"/>
        <color theme="1"/>
        <rFont val="Times New Roman"/>
        <family val="1"/>
      </rPr>
      <t xml:space="preserve"> 20</t>
    </r>
    <r>
      <rPr>
        <sz val="10.5"/>
        <color theme="1"/>
        <rFont val="Times New Roman"/>
        <family val="1"/>
      </rPr>
      <t>(8), 1132–1152.</t>
    </r>
    <r>
      <rPr>
        <sz val="11"/>
        <color theme="1"/>
        <rFont val="等线"/>
        <family val="2"/>
        <scheme val="minor"/>
      </rPr>
      <t/>
    </r>
  </si>
  <si>
    <r>
      <t xml:space="preserve">Ref: Wang, X. T., Kruger, D. J., &amp; Wilke, A. (2009). Life history variables and risk-taking propensity. </t>
    </r>
    <r>
      <rPr>
        <i/>
        <sz val="10"/>
        <color theme="1"/>
        <rFont val="Times New Roman"/>
        <family val="1"/>
      </rPr>
      <t>Evolution and Human Behavior, 30</t>
    </r>
    <r>
      <rPr>
        <sz val="10"/>
        <color theme="1"/>
        <rFont val="Times New Roman"/>
        <family val="1"/>
      </rPr>
      <t>(2), 77-84.</t>
    </r>
    <phoneticPr fontId="1" type="noConversion"/>
  </si>
  <si>
    <t>Goal: Test whether LLM risk ratings change as a functin of life-history variables in ways similar to human findings</t>
    <phoneticPr fontId="1" type="noConversion"/>
  </si>
  <si>
    <t>Life-history variables</t>
    <phoneticPr fontId="1" type="noConversion"/>
  </si>
  <si>
    <t>Levels in LLM design</t>
    <phoneticPr fontId="1" type="noConversion"/>
  </si>
  <si>
    <t>Human findings</t>
    <phoneticPr fontId="1" type="noConversion"/>
  </si>
  <si>
    <t>Sex</t>
    <phoneticPr fontId="1" type="noConversion"/>
  </si>
  <si>
    <t>Age</t>
    <phoneticPr fontId="1" type="noConversion"/>
  </si>
  <si>
    <t>Birth order</t>
    <phoneticPr fontId="1" type="noConversion"/>
  </si>
  <si>
    <t>Number of siblings</t>
    <phoneticPr fontId="1" type="noConversion"/>
  </si>
  <si>
    <t>Parental status</t>
    <phoneticPr fontId="1" type="noConversion"/>
  </si>
  <si>
    <t>Reproductive goal</t>
    <phoneticPr fontId="1" type="noConversion"/>
  </si>
  <si>
    <t>male / female</t>
    <phoneticPr fontId="1" type="noConversion"/>
  </si>
  <si>
    <t>continuous variable from 18 to 50 years</t>
    <phoneticPr fontId="1" type="noConversion"/>
  </si>
  <si>
    <t xml:space="preserve">Age effects were significant in the domains of WGC and BGC, in which younger individuals would be more willing to take risks. </t>
    <phoneticPr fontId="1" type="noConversion"/>
  </si>
  <si>
    <t>Males exhibited higher risk than females across all five risk domains.</t>
    <phoneticPr fontId="1" type="noConversion"/>
  </si>
  <si>
    <t>firstborn / middle / lastborn</t>
    <phoneticPr fontId="1" type="noConversion"/>
  </si>
  <si>
    <t>continuous variable from 1 to 4</t>
    <phoneticPr fontId="1" type="noConversion"/>
  </si>
  <si>
    <t>The lastborn individuals were most likely to engage in risky activities followed by the firstborns and the middle children in the domains of E and M.</t>
    <phoneticPr fontId="1" type="noConversion"/>
  </si>
  <si>
    <t>Individuals with more siblings exhibited lower risk than those with less siblings in the domains of BGC, E, and R.</t>
    <phoneticPr fontId="1" type="noConversion"/>
  </si>
  <si>
    <t>no children / parent</t>
    <phoneticPr fontId="1" type="noConversion"/>
  </si>
  <si>
    <t>Parenthood significantly reduced their rated likelihood of engaging in risky behaviors compared to those who were childless in the domains of WGC and BGC.</t>
    <phoneticPr fontId="1" type="noConversion"/>
  </si>
  <si>
    <t>minimun (1 child) / maximum (4 children)</t>
    <phoneticPr fontId="1" type="noConversion"/>
  </si>
  <si>
    <t>The maximum reproductive goal, rather than the minimum desired offspring, significantly predicted the risk-taking propensity in the domains of R, M, WGC, and BGC.</t>
    <phoneticPr fontId="1" type="noConversion"/>
  </si>
  <si>
    <t>continuous variable from 48 to 100 years</t>
    <phoneticPr fontId="1" type="noConversion"/>
  </si>
  <si>
    <t>Subjective life expectancy</t>
    <phoneticPr fontId="1" type="noConversion"/>
  </si>
  <si>
    <t>Shorter life expectancy significantly predicted higher risk-propensity in the domains of M, R, and BGC.</t>
    <phoneticPr fontId="1" type="noConversion"/>
  </si>
  <si>
    <t>Fifteen items of the risk-propensity scale</t>
    <phoneticPr fontId="1" type="noConversion"/>
  </si>
  <si>
    <t>Domain</t>
    <phoneticPr fontId="1" type="noConversion"/>
  </si>
  <si>
    <t>Abbreviation</t>
    <phoneticPr fontId="1" type="noConversion"/>
  </si>
  <si>
    <t>Item</t>
    <phoneticPr fontId="1" type="noConversion"/>
  </si>
  <si>
    <t>WGC</t>
    <phoneticPr fontId="1" type="noConversion"/>
  </si>
  <si>
    <t>Within-group competition</t>
    <phoneticPr fontId="1" type="noConversion"/>
  </si>
  <si>
    <t>Standing up to your boss in front of coworkers when your boss is being unfair</t>
    <phoneticPr fontId="1" type="noConversion"/>
  </si>
  <si>
    <t>Trying to take a leadership role in any peer group you join</t>
    <phoneticPr fontId="1" type="noConversion"/>
  </si>
  <si>
    <t>Physically intervening between two friends who are aggressively pushing each other, to prevent a fight</t>
    <phoneticPr fontId="1" type="noConversion"/>
  </si>
  <si>
    <t>BGC</t>
    <phoneticPr fontId="1" type="noConversion"/>
  </si>
  <si>
    <t>Between-group competition</t>
    <phoneticPr fontId="1" type="noConversion"/>
  </si>
  <si>
    <t>Adamantly defending the honor of your local team against a fan from a different sporting team even if it might cause a fight</t>
    <phoneticPr fontId="1" type="noConversion"/>
  </si>
  <si>
    <t>Driving to a rival university at night and stealing the school's flag from the flagpole at the center of campus</t>
    <phoneticPr fontId="1" type="noConversion"/>
  </si>
  <si>
    <t>Sitting in the section for fans of the opposing team with a group of friends while wearing your team's colors</t>
    <phoneticPr fontId="1" type="noConversion"/>
  </si>
  <si>
    <t>E</t>
    <phoneticPr fontId="1" type="noConversion"/>
  </si>
  <si>
    <t>Environmental challenge</t>
    <phoneticPr fontId="1" type="noConversion"/>
  </si>
  <si>
    <t>Chasing a bear out of your wilderness campsite area while banging pots and pans</t>
    <phoneticPr fontId="1" type="noConversion"/>
  </si>
  <si>
    <t>Swimming far out from shore to reach a diving platform</t>
    <phoneticPr fontId="1" type="noConversion"/>
  </si>
  <si>
    <t>Exploring an unknown city or section of town</t>
    <phoneticPr fontId="1" type="noConversion"/>
  </si>
  <si>
    <t>M</t>
    <phoneticPr fontId="1" type="noConversion"/>
  </si>
  <si>
    <t>Mating and resource allocation for mate attraction</t>
    <phoneticPr fontId="1" type="noConversion"/>
  </si>
  <si>
    <t>Spending a large portion of your salary to buy a sporty new convertible</t>
    <phoneticPr fontId="1" type="noConversion"/>
  </si>
  <si>
    <t>Engaging in unprotected sex during a one-night stand</t>
    <phoneticPr fontId="1" type="noConversion"/>
  </si>
  <si>
    <t>Maintaining long-term romantic relationships with more than one partner</t>
    <phoneticPr fontId="1" type="noConversion"/>
  </si>
  <si>
    <t>R</t>
    <phoneticPr fontId="1" type="noConversion"/>
  </si>
  <si>
    <t>Reproduction</t>
    <phoneticPr fontId="1" type="noConversion"/>
  </si>
  <si>
    <t>Getting sterilized so you cannot have children but have more leisure time and more financial flexibility</t>
    <phoneticPr fontId="1" type="noConversion"/>
  </si>
  <si>
    <t>Exposing yourself to chemicals that might lead to birth defects for a high-paying job</t>
    <phoneticPr fontId="1" type="noConversion"/>
  </si>
  <si>
    <t>Participating in medical research that pays 0,000 but has some chance of making you sterile</t>
    <phoneticPr fontId="1" type="noConversion"/>
  </si>
  <si>
    <t>Note: The risk-propensity was measured in a 5-point scale (Very unlikely, Unlikely, Not sure, Likely, Very likely). These questionnaire items were presented in a random order.</t>
    <phoneticPr fontId="1" type="noConversion"/>
  </si>
  <si>
    <t>Ref: Capraro, V., Di Paolo, R., &amp; Pizziol, V. (2025). A publicly available benchmark for assessing large Language models’ ability to predict how humans balance self-interest and the interest of others. Scientific Reports, 15(1), 21428.</t>
    <phoneticPr fontId="1" type="noConversion"/>
  </si>
  <si>
    <t>Goal: Test whether and how LLM balance monetary self-interest and the interest of others.</t>
    <phoneticPr fontId="1" type="noConversion"/>
  </si>
  <si>
    <r>
      <rPr>
        <b/>
        <sz val="10"/>
        <color theme="1"/>
        <rFont val="Times New Roman"/>
        <family val="1"/>
      </rPr>
      <t>Dictator game:</t>
    </r>
    <r>
      <rPr>
        <sz val="10"/>
        <color theme="1"/>
        <rFont val="Times New Roman"/>
        <family val="1"/>
      </rPr>
      <t xml:space="preserve"> In this game, the "dictator", is endowed with a sum of money and must decide how much, if any, to share with another participant. The second participant has no input in this decision and can only accept what the dictator offers. Consequently, the dictator game serves as a measure of the trade-off between monetary self-interest (keeping all the money for the self) and other-interest (giving away some or all of the money to the other).</t>
    </r>
    <phoneticPr fontId="1" type="noConversion"/>
  </si>
  <si>
    <t>Condition</t>
    <phoneticPr fontId="1" type="noConversion"/>
  </si>
  <si>
    <t>Standard</t>
    <phoneticPr fontId="1" type="noConversion"/>
  </si>
  <si>
    <t>Description</t>
    <phoneticPr fontId="1" type="noConversion"/>
  </si>
  <si>
    <t>Extreme</t>
    <phoneticPr fontId="1" type="noConversion"/>
  </si>
  <si>
    <t>In this game, participants assigned the role of dictators can transfer any amount of their endowment to the other participant, ranging from zero to their entire allotment.</t>
    <phoneticPr fontId="1" type="noConversion"/>
  </si>
  <si>
    <t>This variant of the standard dictator game allows for only two options, namely, transferring nothing or transferring the entire endowment.</t>
    <phoneticPr fontId="1" type="noConversion"/>
  </si>
  <si>
    <t>With a "take" option</t>
    <phoneticPr fontId="1" type="noConversion"/>
  </si>
  <si>
    <t>Here, the dictators begin with a larger endowment than the recipients. Beyond transferring some of their endowment to the recipient, they can also take a portion of the recipients’ endowment for themselves.</t>
    <phoneticPr fontId="1" type="noConversion"/>
  </si>
  <si>
    <t>Human benchmark data refers to dg_data.xlsx</t>
    <phoneticPr fontId="1" type="noConversion"/>
  </si>
  <si>
    <t>Dictator game instruction refers to dg_instruction.docx</t>
    <phoneticPr fontId="1" type="noConversion"/>
  </si>
  <si>
    <t>Prompt for LLM:</t>
    <phoneticPr fontId="1" type="noConversion"/>
  </si>
  <si>
    <t>You are a participant in an economic decision task.</t>
  </si>
  <si>
    <t>Question:</t>
  </si>
  <si>
    <t>How much money do you give to the other participant?</t>
  </si>
  <si>
    <t>Answer with a number only.</t>
  </si>
  <si>
    <t>[instruction for dictator game]</t>
    <phoneticPr fontId="1" type="noConversion"/>
  </si>
  <si>
    <t>Scoring:</t>
    <phoneticPr fontId="1" type="noConversion"/>
  </si>
  <si>
    <t>Mean error: E_mean = u_LLM - u_Human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</si>
</sst>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Red]\(0.00\)"/>
    <numFmt numFmtId="177" formatCode="0_);[Red]\(0\)"/>
    <numFmt numFmtId="178" formatCode="0.000_);[Red]\(0.000\)"/>
  </numFmts>
  <fonts count="8" x14ac:knownFonts="1">
    <font>
      <sz val="11"/>
      <color theme="1"/>
      <name val="等线"/>
      <family val="2"/>
      <scheme val="minor"/>
    </font>
    <font>
      <sz val="9"/>
      <name val="等线"/>
      <family val="3"/>
      <charset val="134"/>
      <scheme val="minor"/>
    </font>
    <font>
      <sz val="10"/>
      <color theme="1"/>
      <name val="Times New Roman"/>
      <family val="1"/>
    </font>
    <font>
      <b/>
      <sz val="10"/>
      <color theme="1"/>
      <name val="Times New Roman"/>
      <family val="1"/>
    </font>
    <font>
      <sz val="10.5"/>
      <color theme="1"/>
      <name val="Times New Roman"/>
      <family val="1"/>
    </font>
    <font>
      <i/>
      <sz val="10.5"/>
      <color theme="1"/>
      <name val="Times New Roman"/>
      <family val="1"/>
    </font>
    <font>
      <i/>
      <sz val="10"/>
      <color theme="1"/>
      <name val="Times New Roman"/>
      <family val="1"/>
    </font>
    <font>
      <sz val="11"/>
      <color theme="1"/>
      <name val="Times New Roman"/>
      <family val="1"/>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xf>
    <xf numFmtId="176" fontId="2" fillId="0" borderId="0" xfId="0" applyNumberFormat="1" applyFont="1" applyAlignment="1">
      <alignment horizontal="left" vertical="top"/>
    </xf>
    <xf numFmtId="176" fontId="3" fillId="0" borderId="0" xfId="0" applyNumberFormat="1" applyFont="1" applyAlignment="1">
      <alignment horizontal="left" vertical="top"/>
    </xf>
    <xf numFmtId="177" fontId="3" fillId="0" borderId="0" xfId="0" applyNumberFormat="1" applyFont="1" applyAlignment="1">
      <alignment horizontal="left" vertical="top"/>
    </xf>
    <xf numFmtId="177" fontId="2" fillId="0" borderId="0" xfId="0" applyNumberFormat="1" applyFont="1" applyAlignment="1">
      <alignment horizontal="left" vertical="top"/>
    </xf>
    <xf numFmtId="0" fontId="2" fillId="2" borderId="0" xfId="0" applyFont="1" applyFill="1" applyAlignment="1">
      <alignment horizontal="left" vertical="top"/>
    </xf>
    <xf numFmtId="0" fontId="2" fillId="2" borderId="0" xfId="0" applyFont="1" applyFill="1" applyAlignment="1">
      <alignment horizontal="left" vertical="top" wrapText="1"/>
    </xf>
    <xf numFmtId="176" fontId="2" fillId="2" borderId="0" xfId="0" applyNumberFormat="1" applyFont="1" applyFill="1" applyAlignment="1">
      <alignment horizontal="left" vertical="top"/>
    </xf>
    <xf numFmtId="177" fontId="2" fillId="2" borderId="0" xfId="0" applyNumberFormat="1" applyFont="1" applyFill="1" applyAlignment="1">
      <alignment horizontal="left" vertical="top"/>
    </xf>
    <xf numFmtId="178" fontId="2" fillId="0" borderId="0" xfId="0" applyNumberFormat="1" applyFont="1" applyAlignment="1">
      <alignment horizontal="left" vertical="top"/>
    </xf>
    <xf numFmtId="0" fontId="4" fillId="0" borderId="0" xfId="0" applyFont="1" applyAlignment="1">
      <alignment horizontal="left" vertical="top" wrapText="1"/>
    </xf>
    <xf numFmtId="0" fontId="2" fillId="0" borderId="0" xfId="0" applyFont="1"/>
    <xf numFmtId="0" fontId="0" fillId="0" borderId="0" xfId="0" applyAlignment="1">
      <alignment horizontal="left" vertical="top"/>
    </xf>
    <xf numFmtId="0" fontId="3" fillId="0" borderId="1" xfId="0" applyFont="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applyAlignment="1">
      <alignment horizontal="left" vertical="top" wrapText="1"/>
    </xf>
    <xf numFmtId="0" fontId="7" fillId="0" borderId="0" xfId="0" applyFont="1" applyAlignment="1">
      <alignment horizontal="left" vertical="top" wrapText="1"/>
    </xf>
    <xf numFmtId="0" fontId="7" fillId="0" borderId="0" xfId="0" applyFont="1"/>
    <xf numFmtId="0" fontId="3" fillId="0" borderId="1" xfId="0" applyFont="1" applyBorder="1" applyAlignment="1">
      <alignment horizontal="left" vertical="top" wrapText="1"/>
    </xf>
    <xf numFmtId="0" fontId="7" fillId="0" borderId="1" xfId="0" applyFont="1" applyBorder="1" applyAlignment="1">
      <alignment horizontal="left" vertical="top" wrapText="1"/>
    </xf>
    <xf numFmtId="0" fontId="3" fillId="0" borderId="0" xfId="0" applyFont="1"/>
    <xf numFmtId="0" fontId="2" fillId="0" borderId="0" xfId="0" applyFont="1" applyAlignment="1">
      <alignment horizontal="center" vertical="top"/>
    </xf>
    <xf numFmtId="0" fontId="7"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center"/>
    </xf>
    <xf numFmtId="0" fontId="2" fillId="0" borderId="0" xfId="0" applyFont="1" applyAlignment="1">
      <alignment horizontal="lef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zoomScale="80" zoomScaleNormal="80" workbookViewId="0">
      <pane ySplit="1" topLeftCell="A2" activePane="bottomLeft" state="frozen"/>
      <selection pane="bottomLeft" activeCell="E9" sqref="E9"/>
    </sheetView>
  </sheetViews>
  <sheetFormatPr defaultRowHeight="13.15" x14ac:dyDescent="0.4"/>
  <cols>
    <col min="1" max="1" width="33.3984375" style="1" bestFit="1" customWidth="1"/>
    <col min="2" max="2" width="3.796875" style="1" bestFit="1" customWidth="1"/>
    <col min="3" max="3" width="12.73046875" style="1" bestFit="1" customWidth="1"/>
    <col min="4" max="4" width="70.53125" style="1" bestFit="1" customWidth="1"/>
    <col min="5" max="5" width="37.86328125" style="1" bestFit="1" customWidth="1"/>
    <col min="6" max="6" width="12.796875" style="1" bestFit="1" customWidth="1"/>
    <col min="7" max="7" width="21" style="4" bestFit="1" customWidth="1"/>
    <col min="8" max="8" width="20.9296875" style="4" bestFit="1" customWidth="1"/>
    <col min="9" max="9" width="16.46484375" style="7" bestFit="1" customWidth="1"/>
    <col min="10" max="10" width="22.796875" style="1" customWidth="1"/>
    <col min="11" max="16384" width="9.06640625" style="1"/>
  </cols>
  <sheetData>
    <row r="1" spans="1:10" s="3" customFormat="1" ht="12.75" x14ac:dyDescent="0.4">
      <c r="A1" s="3" t="s">
        <v>4</v>
      </c>
      <c r="B1" s="3" t="s">
        <v>0</v>
      </c>
      <c r="C1" s="3" t="s">
        <v>2</v>
      </c>
      <c r="D1" s="3" t="s">
        <v>1</v>
      </c>
      <c r="E1" s="3" t="s">
        <v>120</v>
      </c>
      <c r="F1" s="3" t="s">
        <v>3</v>
      </c>
      <c r="G1" s="5" t="s">
        <v>15</v>
      </c>
      <c r="H1" s="5" t="s">
        <v>16</v>
      </c>
      <c r="I1" s="6" t="s">
        <v>86</v>
      </c>
      <c r="J1" s="3" t="s">
        <v>17</v>
      </c>
    </row>
    <row r="2" spans="1:10" ht="78.75" x14ac:dyDescent="0.4">
      <c r="A2" s="1" t="s">
        <v>5</v>
      </c>
      <c r="B2" s="1">
        <v>1</v>
      </c>
      <c r="C2" s="1" t="s">
        <v>37</v>
      </c>
      <c r="D2" s="2" t="s">
        <v>6</v>
      </c>
      <c r="E2" s="2" t="s">
        <v>121</v>
      </c>
      <c r="F2" s="1" t="s">
        <v>7</v>
      </c>
      <c r="G2" s="4">
        <f>18/50</f>
        <v>0.36</v>
      </c>
      <c r="H2" s="4">
        <f>32/50</f>
        <v>0.64</v>
      </c>
      <c r="I2" s="7">
        <v>50</v>
      </c>
      <c r="J2" s="2" t="s">
        <v>87</v>
      </c>
    </row>
    <row r="3" spans="1:10" ht="78.75" x14ac:dyDescent="0.4">
      <c r="B3" s="1">
        <v>2</v>
      </c>
      <c r="C3" s="1" t="s">
        <v>38</v>
      </c>
      <c r="D3" s="2" t="s">
        <v>8</v>
      </c>
      <c r="E3" s="2" t="s">
        <v>121</v>
      </c>
      <c r="F3" s="1" t="s">
        <v>7</v>
      </c>
      <c r="G3" s="4">
        <f>15/50</f>
        <v>0.3</v>
      </c>
      <c r="H3" s="4">
        <f>35/50</f>
        <v>0.7</v>
      </c>
      <c r="I3" s="7">
        <v>50</v>
      </c>
    </row>
    <row r="4" spans="1:10" ht="78.75" x14ac:dyDescent="0.4">
      <c r="B4" s="1">
        <v>3</v>
      </c>
      <c r="C4" s="1" t="s">
        <v>39</v>
      </c>
      <c r="D4" s="2" t="s">
        <v>9</v>
      </c>
      <c r="E4" s="2" t="s">
        <v>121</v>
      </c>
      <c r="F4" s="1" t="s">
        <v>7</v>
      </c>
      <c r="G4" s="4">
        <f>13/40</f>
        <v>0.32500000000000001</v>
      </c>
      <c r="H4" s="4">
        <f>27/40</f>
        <v>0.67500000000000004</v>
      </c>
      <c r="I4" s="7">
        <v>40</v>
      </c>
    </row>
    <row r="5" spans="1:10" ht="78.75" x14ac:dyDescent="0.4">
      <c r="B5" s="1">
        <v>4</v>
      </c>
      <c r="C5" s="1" t="s">
        <v>40</v>
      </c>
      <c r="D5" s="2" t="s">
        <v>10</v>
      </c>
      <c r="E5" s="2" t="s">
        <v>121</v>
      </c>
      <c r="F5" s="1" t="s">
        <v>7</v>
      </c>
      <c r="G5" s="4">
        <f>14/40</f>
        <v>0.35</v>
      </c>
      <c r="H5" s="4">
        <f>26/40</f>
        <v>0.65</v>
      </c>
      <c r="I5" s="7">
        <v>40</v>
      </c>
    </row>
    <row r="6" spans="1:10" ht="78.75" x14ac:dyDescent="0.4">
      <c r="B6" s="1">
        <v>5</v>
      </c>
      <c r="C6" s="1" t="s">
        <v>41</v>
      </c>
      <c r="D6" s="2" t="s">
        <v>11</v>
      </c>
      <c r="E6" s="2" t="s">
        <v>121</v>
      </c>
      <c r="F6" s="1" t="s">
        <v>7</v>
      </c>
      <c r="G6" s="4">
        <f>30/50</f>
        <v>0.6</v>
      </c>
      <c r="H6" s="4">
        <f>20/50</f>
        <v>0.4</v>
      </c>
      <c r="I6" s="7">
        <v>50</v>
      </c>
    </row>
    <row r="7" spans="1:10" ht="88.5" customHeight="1" x14ac:dyDescent="0.4">
      <c r="B7" s="1">
        <v>6</v>
      </c>
      <c r="C7" s="1" t="s">
        <v>42</v>
      </c>
      <c r="D7" s="2" t="s">
        <v>12</v>
      </c>
      <c r="E7" s="2" t="s">
        <v>121</v>
      </c>
      <c r="F7" s="1" t="s">
        <v>7</v>
      </c>
      <c r="G7" s="4">
        <f>16/50</f>
        <v>0.32</v>
      </c>
      <c r="H7" s="4">
        <f>34/50</f>
        <v>0.68</v>
      </c>
      <c r="I7" s="7">
        <v>50</v>
      </c>
    </row>
    <row r="8" spans="1:10" ht="78.75" x14ac:dyDescent="0.4">
      <c r="B8" s="1">
        <v>7</v>
      </c>
      <c r="C8" s="1" t="s">
        <v>43</v>
      </c>
      <c r="D8" s="2" t="s">
        <v>13</v>
      </c>
      <c r="E8" s="2" t="s">
        <v>121</v>
      </c>
      <c r="F8" s="1" t="s">
        <v>7</v>
      </c>
      <c r="G8" s="4">
        <f>26/44</f>
        <v>0.59090909090909094</v>
      </c>
      <c r="H8" s="4">
        <f>18/44</f>
        <v>0.40909090909090912</v>
      </c>
      <c r="I8" s="7">
        <v>44</v>
      </c>
    </row>
    <row r="9" spans="1:10" ht="78.75" x14ac:dyDescent="0.4">
      <c r="B9" s="1">
        <v>8</v>
      </c>
      <c r="C9" s="1" t="s">
        <v>44</v>
      </c>
      <c r="D9" s="2" t="s">
        <v>14</v>
      </c>
      <c r="E9" s="2" t="s">
        <v>121</v>
      </c>
      <c r="F9" s="1" t="s">
        <v>7</v>
      </c>
      <c r="G9" s="4">
        <f>17/44</f>
        <v>0.38636363636363635</v>
      </c>
      <c r="H9" s="4">
        <f>27/44</f>
        <v>0.61363636363636365</v>
      </c>
      <c r="I9" s="7">
        <v>44</v>
      </c>
    </row>
    <row r="10" spans="1:10" ht="78.75" x14ac:dyDescent="0.4">
      <c r="A10" s="1" t="s">
        <v>18</v>
      </c>
      <c r="B10" s="1">
        <v>1</v>
      </c>
      <c r="C10" s="1" t="s">
        <v>45</v>
      </c>
      <c r="D10" s="2" t="s">
        <v>19</v>
      </c>
      <c r="E10" s="2" t="s">
        <v>121</v>
      </c>
      <c r="F10" s="1" t="s">
        <v>7</v>
      </c>
      <c r="G10" s="4">
        <f>28/50</f>
        <v>0.56000000000000005</v>
      </c>
      <c r="H10" s="4">
        <f>22/50</f>
        <v>0.44</v>
      </c>
      <c r="I10" s="7">
        <v>50</v>
      </c>
      <c r="J10" s="2" t="s">
        <v>88</v>
      </c>
    </row>
    <row r="11" spans="1:10" ht="78.75" x14ac:dyDescent="0.4">
      <c r="B11" s="1">
        <v>2</v>
      </c>
      <c r="C11" s="1" t="s">
        <v>46</v>
      </c>
      <c r="D11" s="2" t="s">
        <v>21</v>
      </c>
      <c r="E11" s="2" t="s">
        <v>121</v>
      </c>
      <c r="F11" s="1" t="s">
        <v>7</v>
      </c>
      <c r="G11" s="4">
        <f>12/50</f>
        <v>0.24</v>
      </c>
      <c r="H11" s="4">
        <f>38/50</f>
        <v>0.76</v>
      </c>
      <c r="I11" s="7">
        <v>50</v>
      </c>
    </row>
    <row r="12" spans="1:10" ht="78.75" x14ac:dyDescent="0.4">
      <c r="B12" s="1">
        <v>3</v>
      </c>
      <c r="C12" s="1" t="s">
        <v>47</v>
      </c>
      <c r="D12" s="2" t="s">
        <v>20</v>
      </c>
      <c r="E12" s="2" t="s">
        <v>121</v>
      </c>
      <c r="F12" s="1" t="s">
        <v>7</v>
      </c>
      <c r="G12" s="4">
        <f>26/50</f>
        <v>0.52</v>
      </c>
      <c r="H12" s="4">
        <f>24/50</f>
        <v>0.48</v>
      </c>
      <c r="I12" s="7">
        <v>50</v>
      </c>
    </row>
    <row r="13" spans="1:10" ht="78.75" x14ac:dyDescent="0.4">
      <c r="B13" s="1">
        <v>4</v>
      </c>
      <c r="C13" s="1" t="s">
        <v>48</v>
      </c>
      <c r="D13" s="2" t="s">
        <v>23</v>
      </c>
      <c r="E13" s="2" t="s">
        <v>121</v>
      </c>
      <c r="F13" s="1" t="s">
        <v>7</v>
      </c>
      <c r="G13" s="4">
        <f>13/50</f>
        <v>0.26</v>
      </c>
      <c r="H13" s="4">
        <f>37/50</f>
        <v>0.74</v>
      </c>
      <c r="I13" s="7">
        <v>50</v>
      </c>
    </row>
    <row r="14" spans="1:10" ht="91.9" x14ac:dyDescent="0.4">
      <c r="B14" s="1">
        <v>5</v>
      </c>
      <c r="C14" s="1" t="s">
        <v>49</v>
      </c>
      <c r="D14" s="2" t="s">
        <v>22</v>
      </c>
      <c r="E14" s="2" t="s">
        <v>121</v>
      </c>
      <c r="F14" s="1" t="s">
        <v>7</v>
      </c>
      <c r="G14" s="4">
        <f>17/50</f>
        <v>0.34</v>
      </c>
      <c r="H14" s="4">
        <f>33/50</f>
        <v>0.66</v>
      </c>
      <c r="I14" s="7">
        <v>50</v>
      </c>
    </row>
    <row r="15" spans="1:10" ht="91.9" x14ac:dyDescent="0.4">
      <c r="B15" s="1">
        <v>6</v>
      </c>
      <c r="C15" s="1" t="s">
        <v>50</v>
      </c>
      <c r="D15" s="2" t="s">
        <v>24</v>
      </c>
      <c r="E15" s="2" t="s">
        <v>121</v>
      </c>
      <c r="F15" s="1" t="s">
        <v>7</v>
      </c>
      <c r="G15" s="4">
        <f>14/50</f>
        <v>0.28000000000000003</v>
      </c>
      <c r="H15" s="4">
        <f>36/50</f>
        <v>0.72</v>
      </c>
      <c r="I15" s="7">
        <v>50</v>
      </c>
    </row>
    <row r="16" spans="1:10" ht="91.9" x14ac:dyDescent="0.4">
      <c r="B16" s="1">
        <v>7</v>
      </c>
      <c r="C16" s="1" t="s">
        <v>51</v>
      </c>
      <c r="D16" s="2" t="s">
        <v>25</v>
      </c>
      <c r="E16" s="2" t="s">
        <v>121</v>
      </c>
      <c r="F16" s="1" t="s">
        <v>7</v>
      </c>
      <c r="G16" s="4">
        <f>15/50</f>
        <v>0.3</v>
      </c>
      <c r="H16" s="4">
        <f>35/50</f>
        <v>0.7</v>
      </c>
      <c r="I16" s="7">
        <v>50</v>
      </c>
    </row>
    <row r="17" spans="1:10" ht="91.9" x14ac:dyDescent="0.4">
      <c r="B17" s="1">
        <v>8</v>
      </c>
      <c r="C17" s="1" t="s">
        <v>52</v>
      </c>
      <c r="D17" s="2" t="s">
        <v>26</v>
      </c>
      <c r="E17" s="2" t="s">
        <v>121</v>
      </c>
      <c r="F17" s="1" t="s">
        <v>7</v>
      </c>
      <c r="G17" s="4">
        <f>15/50</f>
        <v>0.3</v>
      </c>
      <c r="H17" s="4">
        <f>35/50</f>
        <v>0.7</v>
      </c>
      <c r="I17" s="7">
        <v>50</v>
      </c>
    </row>
    <row r="18" spans="1:10" ht="78.75" x14ac:dyDescent="0.4">
      <c r="A18" s="1" t="s">
        <v>27</v>
      </c>
      <c r="B18" s="1">
        <v>1</v>
      </c>
      <c r="C18" s="1" t="s">
        <v>28</v>
      </c>
      <c r="D18" s="2" t="s">
        <v>32</v>
      </c>
      <c r="E18" s="2" t="s">
        <v>121</v>
      </c>
      <c r="F18" s="1" t="s">
        <v>7</v>
      </c>
      <c r="G18" s="4">
        <f>32/50</f>
        <v>0.64</v>
      </c>
      <c r="H18" s="4">
        <f>18/50</f>
        <v>0.36</v>
      </c>
      <c r="I18" s="7">
        <v>50</v>
      </c>
      <c r="J18" s="2" t="s">
        <v>88</v>
      </c>
    </row>
    <row r="19" spans="1:10" ht="78.75" x14ac:dyDescent="0.4">
      <c r="B19" s="1">
        <v>2</v>
      </c>
      <c r="C19" s="1" t="s">
        <v>29</v>
      </c>
      <c r="D19" s="2" t="s">
        <v>34</v>
      </c>
      <c r="E19" s="2" t="s">
        <v>121</v>
      </c>
      <c r="F19" s="1" t="s">
        <v>7</v>
      </c>
      <c r="G19" s="4">
        <f>17/50</f>
        <v>0.34</v>
      </c>
      <c r="H19" s="4">
        <f>33/50</f>
        <v>0.66</v>
      </c>
      <c r="I19" s="7">
        <v>50</v>
      </c>
    </row>
    <row r="20" spans="1:10" ht="78.75" x14ac:dyDescent="0.4">
      <c r="B20" s="1">
        <v>3</v>
      </c>
      <c r="C20" s="1" t="s">
        <v>30</v>
      </c>
      <c r="D20" s="2" t="s">
        <v>33</v>
      </c>
      <c r="E20" s="2" t="s">
        <v>121</v>
      </c>
      <c r="F20" s="1" t="s">
        <v>7</v>
      </c>
      <c r="G20" s="4">
        <f>24/50</f>
        <v>0.48</v>
      </c>
      <c r="H20" s="4">
        <f>26/50</f>
        <v>0.52</v>
      </c>
      <c r="I20" s="7">
        <v>50</v>
      </c>
    </row>
    <row r="21" spans="1:10" ht="78.75" x14ac:dyDescent="0.4">
      <c r="B21" s="1">
        <v>4</v>
      </c>
      <c r="C21" s="1" t="s">
        <v>31</v>
      </c>
      <c r="D21" s="2" t="s">
        <v>35</v>
      </c>
      <c r="E21" s="2" t="s">
        <v>121</v>
      </c>
      <c r="F21" s="1" t="s">
        <v>7</v>
      </c>
      <c r="G21" s="4">
        <f>24/50</f>
        <v>0.48</v>
      </c>
      <c r="H21" s="4">
        <f>26/50</f>
        <v>0.52</v>
      </c>
      <c r="I21" s="7">
        <v>50</v>
      </c>
    </row>
    <row r="22" spans="1:10" ht="91.9" x14ac:dyDescent="0.4">
      <c r="A22" s="1" t="s">
        <v>36</v>
      </c>
      <c r="B22" s="1">
        <v>1</v>
      </c>
      <c r="C22" s="1" t="s">
        <v>53</v>
      </c>
      <c r="D22" s="2" t="s">
        <v>61</v>
      </c>
      <c r="E22" s="2" t="s">
        <v>121</v>
      </c>
      <c r="F22" s="1" t="s">
        <v>7</v>
      </c>
      <c r="G22" s="4">
        <f>28/45</f>
        <v>0.62222222222222223</v>
      </c>
      <c r="H22" s="4">
        <f>17/45</f>
        <v>0.37777777777777777</v>
      </c>
      <c r="I22" s="7">
        <v>45</v>
      </c>
      <c r="J22" s="2" t="s">
        <v>89</v>
      </c>
    </row>
    <row r="23" spans="1:10" ht="91.9" x14ac:dyDescent="0.4">
      <c r="B23" s="1">
        <v>2</v>
      </c>
      <c r="C23" s="1" t="s">
        <v>54</v>
      </c>
      <c r="D23" s="2" t="s">
        <v>65</v>
      </c>
      <c r="E23" s="2" t="s">
        <v>121</v>
      </c>
      <c r="F23" s="1" t="s">
        <v>7</v>
      </c>
      <c r="G23" s="4">
        <f>16/41</f>
        <v>0.3902439024390244</v>
      </c>
      <c r="H23" s="4">
        <f>25/41</f>
        <v>0.6097560975609756</v>
      </c>
      <c r="I23" s="7">
        <v>41</v>
      </c>
    </row>
    <row r="24" spans="1:10" ht="91.9" x14ac:dyDescent="0.4">
      <c r="B24" s="1">
        <v>3</v>
      </c>
      <c r="C24" s="1" t="s">
        <v>55</v>
      </c>
      <c r="D24" s="2" t="s">
        <v>62</v>
      </c>
      <c r="E24" s="2" t="s">
        <v>121</v>
      </c>
      <c r="F24" s="1" t="s">
        <v>7</v>
      </c>
      <c r="G24" s="4">
        <f>34/45</f>
        <v>0.75555555555555554</v>
      </c>
      <c r="H24" s="4">
        <f>11/45</f>
        <v>0.24444444444444444</v>
      </c>
      <c r="I24" s="7">
        <v>45</v>
      </c>
    </row>
    <row r="25" spans="1:10" ht="91.9" x14ac:dyDescent="0.4">
      <c r="B25" s="1">
        <v>4</v>
      </c>
      <c r="C25" s="1" t="s">
        <v>56</v>
      </c>
      <c r="D25" s="2" t="s">
        <v>66</v>
      </c>
      <c r="E25" s="2" t="s">
        <v>121</v>
      </c>
      <c r="F25" s="1" t="s">
        <v>7</v>
      </c>
      <c r="G25" s="4">
        <f>18/40</f>
        <v>0.45</v>
      </c>
      <c r="H25" s="4">
        <f>22/40</f>
        <v>0.55000000000000004</v>
      </c>
      <c r="I25" s="7">
        <v>40</v>
      </c>
    </row>
    <row r="26" spans="1:10" ht="91.9" x14ac:dyDescent="0.4">
      <c r="B26" s="1">
        <v>5</v>
      </c>
      <c r="C26" s="1" t="s">
        <v>57</v>
      </c>
      <c r="D26" s="2" t="s">
        <v>63</v>
      </c>
      <c r="E26" s="2" t="s">
        <v>121</v>
      </c>
      <c r="F26" s="1" t="s">
        <v>7</v>
      </c>
      <c r="G26" s="4">
        <f>27/39</f>
        <v>0.69230769230769229</v>
      </c>
      <c r="H26" s="4">
        <f>12/39</f>
        <v>0.30769230769230771</v>
      </c>
      <c r="I26" s="7">
        <v>39</v>
      </c>
    </row>
    <row r="27" spans="1:10" ht="91.9" x14ac:dyDescent="0.4">
      <c r="B27" s="1">
        <v>6</v>
      </c>
      <c r="C27" s="1" t="s">
        <v>58</v>
      </c>
      <c r="D27" s="2" t="s">
        <v>67</v>
      </c>
      <c r="E27" s="2" t="s">
        <v>121</v>
      </c>
      <c r="F27" s="1" t="s">
        <v>7</v>
      </c>
      <c r="G27" s="4">
        <f>27/41</f>
        <v>0.65853658536585369</v>
      </c>
      <c r="H27" s="4">
        <f>14/41</f>
        <v>0.34146341463414637</v>
      </c>
      <c r="I27" s="7">
        <v>41</v>
      </c>
    </row>
    <row r="28" spans="1:10" ht="91.9" x14ac:dyDescent="0.4">
      <c r="B28" s="1">
        <v>7</v>
      </c>
      <c r="C28" s="1" t="s">
        <v>59</v>
      </c>
      <c r="D28" s="2" t="s">
        <v>64</v>
      </c>
      <c r="E28" s="2" t="s">
        <v>121</v>
      </c>
      <c r="F28" s="1" t="s">
        <v>7</v>
      </c>
      <c r="G28" s="4">
        <f>31/38</f>
        <v>0.81578947368421051</v>
      </c>
      <c r="H28" s="4">
        <f>7/38</f>
        <v>0.18421052631578946</v>
      </c>
      <c r="I28" s="7">
        <v>38</v>
      </c>
    </row>
    <row r="29" spans="1:10" ht="91.9" x14ac:dyDescent="0.4">
      <c r="B29" s="1">
        <v>8</v>
      </c>
      <c r="C29" s="1" t="s">
        <v>60</v>
      </c>
      <c r="D29" s="2" t="s">
        <v>68</v>
      </c>
      <c r="E29" s="2" t="s">
        <v>121</v>
      </c>
      <c r="F29" s="1" t="s">
        <v>7</v>
      </c>
      <c r="G29" s="4">
        <f>23/38</f>
        <v>0.60526315789473684</v>
      </c>
      <c r="H29" s="4">
        <f>15/38</f>
        <v>0.39473684210526316</v>
      </c>
      <c r="I29" s="7">
        <v>38</v>
      </c>
    </row>
    <row r="30" spans="1:10" ht="78.75" x14ac:dyDescent="0.4">
      <c r="A30" s="1" t="s">
        <v>69</v>
      </c>
      <c r="B30" s="1">
        <v>1</v>
      </c>
      <c r="C30" s="1" t="s">
        <v>70</v>
      </c>
      <c r="D30" s="2" t="s">
        <v>78</v>
      </c>
      <c r="E30" s="2" t="s">
        <v>121</v>
      </c>
      <c r="F30" s="1" t="s">
        <v>7</v>
      </c>
      <c r="G30" s="4">
        <f>16/31</f>
        <v>0.5161290322580645</v>
      </c>
      <c r="H30" s="4">
        <f>15/31</f>
        <v>0.4838709677419355</v>
      </c>
      <c r="I30" s="7">
        <v>31</v>
      </c>
      <c r="J30" s="2" t="s">
        <v>89</v>
      </c>
    </row>
    <row r="31" spans="1:10" ht="91.9" x14ac:dyDescent="0.4">
      <c r="B31" s="1">
        <v>2</v>
      </c>
      <c r="C31" s="1" t="s">
        <v>71</v>
      </c>
      <c r="D31" s="2" t="s">
        <v>82</v>
      </c>
      <c r="E31" s="2" t="s">
        <v>121</v>
      </c>
      <c r="F31" s="1" t="s">
        <v>7</v>
      </c>
      <c r="G31" s="4">
        <f>18/31</f>
        <v>0.58064516129032262</v>
      </c>
      <c r="H31" s="4">
        <f>13/31</f>
        <v>0.41935483870967744</v>
      </c>
      <c r="I31" s="7">
        <v>31</v>
      </c>
    </row>
    <row r="32" spans="1:10" ht="78.75" x14ac:dyDescent="0.4">
      <c r="B32" s="1">
        <v>3</v>
      </c>
      <c r="C32" s="1" t="s">
        <v>72</v>
      </c>
      <c r="D32" s="2" t="s">
        <v>79</v>
      </c>
      <c r="E32" s="2" t="s">
        <v>121</v>
      </c>
      <c r="F32" s="1" t="s">
        <v>7</v>
      </c>
      <c r="G32" s="4">
        <f>20/35</f>
        <v>0.5714285714285714</v>
      </c>
      <c r="H32" s="4">
        <f>15/35</f>
        <v>0.42857142857142855</v>
      </c>
      <c r="I32" s="7">
        <v>35</v>
      </c>
    </row>
    <row r="33" spans="2:9" ht="91.9" x14ac:dyDescent="0.4">
      <c r="B33" s="1">
        <v>4</v>
      </c>
      <c r="C33" s="1" t="s">
        <v>73</v>
      </c>
      <c r="D33" s="2" t="s">
        <v>83</v>
      </c>
      <c r="E33" s="2" t="s">
        <v>121</v>
      </c>
      <c r="F33" s="1" t="s">
        <v>7</v>
      </c>
      <c r="G33" s="4">
        <f>16/33</f>
        <v>0.48484848484848486</v>
      </c>
      <c r="H33" s="4">
        <f>17/33</f>
        <v>0.51515151515151514</v>
      </c>
      <c r="I33" s="7">
        <v>33</v>
      </c>
    </row>
    <row r="34" spans="2:9" ht="78.75" x14ac:dyDescent="0.4">
      <c r="B34" s="1">
        <v>5</v>
      </c>
      <c r="C34" s="1" t="s">
        <v>74</v>
      </c>
      <c r="D34" s="2" t="s">
        <v>80</v>
      </c>
      <c r="E34" s="2" t="s">
        <v>121</v>
      </c>
      <c r="F34" s="1" t="s">
        <v>7</v>
      </c>
      <c r="G34" s="4">
        <f>25/32</f>
        <v>0.78125</v>
      </c>
      <c r="H34" s="4">
        <f>7/32</f>
        <v>0.21875</v>
      </c>
      <c r="I34" s="7">
        <v>32</v>
      </c>
    </row>
    <row r="35" spans="2:9" ht="91.9" x14ac:dyDescent="0.4">
      <c r="B35" s="1">
        <v>6</v>
      </c>
      <c r="C35" s="1" t="s">
        <v>75</v>
      </c>
      <c r="D35" s="2" t="s">
        <v>84</v>
      </c>
      <c r="E35" s="2" t="s">
        <v>121</v>
      </c>
      <c r="F35" s="1" t="s">
        <v>7</v>
      </c>
      <c r="G35" s="4">
        <f>20/31</f>
        <v>0.64516129032258063</v>
      </c>
      <c r="H35" s="4">
        <f>11/31</f>
        <v>0.35483870967741937</v>
      </c>
      <c r="I35" s="7">
        <v>31</v>
      </c>
    </row>
    <row r="36" spans="2:9" ht="78.75" x14ac:dyDescent="0.4">
      <c r="B36" s="1">
        <v>7</v>
      </c>
      <c r="C36" s="1" t="s">
        <v>76</v>
      </c>
      <c r="D36" s="2" t="s">
        <v>81</v>
      </c>
      <c r="E36" s="2" t="s">
        <v>121</v>
      </c>
      <c r="F36" s="1" t="s">
        <v>7</v>
      </c>
      <c r="G36" s="4">
        <f>33/36</f>
        <v>0.91666666666666663</v>
      </c>
      <c r="H36" s="4">
        <f>3/36</f>
        <v>8.3333333333333329E-2</v>
      </c>
      <c r="I36" s="7">
        <v>36</v>
      </c>
    </row>
    <row r="37" spans="2:9" ht="91.9" x14ac:dyDescent="0.4">
      <c r="B37" s="1">
        <v>8</v>
      </c>
      <c r="C37" s="1" t="s">
        <v>77</v>
      </c>
      <c r="D37" s="2" t="s">
        <v>85</v>
      </c>
      <c r="E37" s="2" t="s">
        <v>121</v>
      </c>
      <c r="F37" s="1" t="s">
        <v>7</v>
      </c>
      <c r="G37" s="4">
        <f>20/30</f>
        <v>0.66666666666666663</v>
      </c>
      <c r="H37" s="4">
        <f>10/30</f>
        <v>0.33333333333333331</v>
      </c>
      <c r="I37" s="7">
        <v>30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C5856-AC24-4794-B1DC-DFE6D27294C6}">
  <dimension ref="A1:J37"/>
  <sheetViews>
    <sheetView zoomScale="80" zoomScaleNormal="80" workbookViewId="0">
      <pane ySplit="1" topLeftCell="A2" activePane="bottomLeft" state="frozen"/>
      <selection pane="bottomLeft" activeCell="E29" sqref="E29"/>
    </sheetView>
  </sheetViews>
  <sheetFormatPr defaultRowHeight="13.15" x14ac:dyDescent="0.4"/>
  <cols>
    <col min="1" max="1" width="57.265625" style="1" bestFit="1" customWidth="1"/>
    <col min="2" max="2" width="3.796875" style="1" bestFit="1" customWidth="1"/>
    <col min="3" max="3" width="12.73046875" style="1" bestFit="1" customWidth="1"/>
    <col min="4" max="4" width="70.53125" style="1" bestFit="1" customWidth="1"/>
    <col min="5" max="5" width="38" style="1" customWidth="1"/>
    <col min="6" max="6" width="12.796875" style="1" bestFit="1" customWidth="1"/>
    <col min="7" max="7" width="21" style="4" bestFit="1" customWidth="1"/>
    <col min="8" max="8" width="20.9296875" style="4" bestFit="1" customWidth="1"/>
    <col min="9" max="9" width="16.46484375" style="7" bestFit="1" customWidth="1"/>
    <col min="10" max="10" width="22.796875" style="1" customWidth="1"/>
    <col min="11" max="16384" width="9.06640625" style="1"/>
  </cols>
  <sheetData>
    <row r="1" spans="1:10" s="3" customFormat="1" ht="12.75" x14ac:dyDescent="0.4">
      <c r="A1" s="3" t="s">
        <v>4</v>
      </c>
      <c r="B1" s="3" t="s">
        <v>0</v>
      </c>
      <c r="C1" s="3" t="s">
        <v>2</v>
      </c>
      <c r="D1" s="3" t="s">
        <v>1</v>
      </c>
      <c r="E1" s="3" t="s">
        <v>120</v>
      </c>
      <c r="F1" s="3" t="s">
        <v>3</v>
      </c>
      <c r="G1" s="5" t="s">
        <v>15</v>
      </c>
      <c r="H1" s="5" t="s">
        <v>16</v>
      </c>
      <c r="I1" s="6" t="s">
        <v>86</v>
      </c>
      <c r="J1" s="3" t="s">
        <v>17</v>
      </c>
    </row>
    <row r="2" spans="1:10" ht="65.650000000000006" x14ac:dyDescent="0.4">
      <c r="A2" s="1" t="s">
        <v>90</v>
      </c>
      <c r="B2" s="1">
        <v>1</v>
      </c>
      <c r="C2" s="1" t="s">
        <v>91</v>
      </c>
      <c r="D2" s="2" t="s">
        <v>93</v>
      </c>
      <c r="E2" s="2" t="s">
        <v>121</v>
      </c>
      <c r="F2" s="1" t="s">
        <v>7</v>
      </c>
      <c r="G2" s="4">
        <f>32/40</f>
        <v>0.8</v>
      </c>
      <c r="H2" s="4">
        <f>8/40</f>
        <v>0.2</v>
      </c>
      <c r="I2" s="7">
        <v>40</v>
      </c>
      <c r="J2" s="2" t="s">
        <v>87</v>
      </c>
    </row>
    <row r="3" spans="1:10" ht="65.650000000000006" x14ac:dyDescent="0.4">
      <c r="B3" s="1">
        <v>2</v>
      </c>
      <c r="C3" s="1" t="s">
        <v>92</v>
      </c>
      <c r="D3" s="2" t="s">
        <v>94</v>
      </c>
      <c r="E3" s="2" t="s">
        <v>121</v>
      </c>
      <c r="F3" s="1" t="s">
        <v>7</v>
      </c>
      <c r="G3" s="4">
        <v>0.6</v>
      </c>
      <c r="H3" s="4">
        <v>0.4</v>
      </c>
      <c r="I3" s="7">
        <v>40</v>
      </c>
    </row>
    <row r="4" spans="1:10" ht="91.9" x14ac:dyDescent="0.4">
      <c r="A4" s="1" t="s">
        <v>99</v>
      </c>
      <c r="B4" s="1">
        <v>1</v>
      </c>
      <c r="C4" s="1" t="s">
        <v>95</v>
      </c>
      <c r="D4" s="2" t="s">
        <v>97</v>
      </c>
      <c r="E4" s="2" t="s">
        <v>121</v>
      </c>
      <c r="F4" s="1" t="s">
        <v>7</v>
      </c>
      <c r="G4" s="4">
        <v>0.22</v>
      </c>
      <c r="H4" s="4">
        <v>0.77500000000000002</v>
      </c>
      <c r="I4" s="7">
        <v>40</v>
      </c>
      <c r="J4" s="2" t="s">
        <v>115</v>
      </c>
    </row>
    <row r="5" spans="1:10" ht="91.9" x14ac:dyDescent="0.4">
      <c r="B5" s="1">
        <v>2</v>
      </c>
      <c r="C5" s="1" t="s">
        <v>96</v>
      </c>
      <c r="D5" s="2" t="s">
        <v>98</v>
      </c>
      <c r="E5" s="2" t="s">
        <v>121</v>
      </c>
      <c r="F5" s="1" t="s">
        <v>7</v>
      </c>
      <c r="G5" s="4">
        <v>0.23809523809523808</v>
      </c>
      <c r="H5" s="4">
        <v>0.76190476190476186</v>
      </c>
      <c r="I5" s="7">
        <v>42</v>
      </c>
    </row>
    <row r="6" spans="1:10" ht="91.9" x14ac:dyDescent="0.4">
      <c r="A6" s="1" t="s">
        <v>100</v>
      </c>
      <c r="B6" s="1">
        <v>1</v>
      </c>
      <c r="C6" s="1" t="s">
        <v>101</v>
      </c>
      <c r="D6" s="2" t="s">
        <v>97</v>
      </c>
      <c r="E6" s="2" t="s">
        <v>121</v>
      </c>
      <c r="F6" s="1" t="s">
        <v>7</v>
      </c>
      <c r="G6" s="4">
        <v>3.3333333333333333E-2</v>
      </c>
      <c r="H6" s="4">
        <v>0.96666666666666667</v>
      </c>
      <c r="I6" s="7">
        <v>30</v>
      </c>
      <c r="J6" s="2" t="s">
        <v>115</v>
      </c>
    </row>
    <row r="7" spans="1:10" ht="91.9" x14ac:dyDescent="0.4">
      <c r="B7" s="1">
        <v>2</v>
      </c>
      <c r="C7" s="1" t="s">
        <v>102</v>
      </c>
      <c r="D7" s="2" t="s">
        <v>98</v>
      </c>
      <c r="E7" s="2" t="s">
        <v>121</v>
      </c>
      <c r="F7" s="1" t="s">
        <v>7</v>
      </c>
      <c r="G7" s="4">
        <v>0.47222222222222221</v>
      </c>
      <c r="H7" s="4">
        <v>0.52777777777777779</v>
      </c>
      <c r="I7" s="7">
        <v>36</v>
      </c>
    </row>
    <row r="8" spans="1:10" ht="91.9" x14ac:dyDescent="0.4">
      <c r="A8" s="1" t="s">
        <v>118</v>
      </c>
      <c r="B8" s="1">
        <v>1</v>
      </c>
      <c r="C8" s="1" t="s">
        <v>103</v>
      </c>
      <c r="D8" s="2" t="s">
        <v>106</v>
      </c>
      <c r="E8" s="2" t="s">
        <v>121</v>
      </c>
      <c r="F8" s="1" t="s">
        <v>7</v>
      </c>
      <c r="G8" s="4">
        <v>0.45</v>
      </c>
      <c r="H8" s="4">
        <v>0.55000000000000004</v>
      </c>
      <c r="I8" s="7">
        <v>40</v>
      </c>
      <c r="J8" s="2" t="s">
        <v>87</v>
      </c>
    </row>
    <row r="9" spans="1:10" ht="78.75" x14ac:dyDescent="0.4">
      <c r="B9" s="1">
        <v>2</v>
      </c>
      <c r="C9" s="1" t="s">
        <v>104</v>
      </c>
      <c r="D9" s="2" t="s">
        <v>107</v>
      </c>
      <c r="E9" s="2" t="s">
        <v>121</v>
      </c>
      <c r="F9" s="1" t="s">
        <v>7</v>
      </c>
      <c r="G9" s="4">
        <v>0.75</v>
      </c>
      <c r="H9" s="4">
        <v>0.25</v>
      </c>
      <c r="I9" s="7">
        <v>40</v>
      </c>
    </row>
    <row r="10" spans="1:10" ht="78.75" x14ac:dyDescent="0.4">
      <c r="B10" s="1">
        <v>3</v>
      </c>
      <c r="C10" s="1" t="s">
        <v>105</v>
      </c>
      <c r="D10" s="2" t="s">
        <v>108</v>
      </c>
      <c r="E10" s="2" t="s">
        <v>121</v>
      </c>
      <c r="F10" s="1" t="s">
        <v>7</v>
      </c>
      <c r="G10" s="4">
        <v>0.9</v>
      </c>
      <c r="H10" s="4">
        <v>0.1</v>
      </c>
      <c r="I10" s="7">
        <v>40</v>
      </c>
      <c r="J10" s="2"/>
    </row>
    <row r="11" spans="1:10" ht="91.9" x14ac:dyDescent="0.4">
      <c r="A11" s="1" t="s">
        <v>117</v>
      </c>
      <c r="B11" s="1">
        <v>1</v>
      </c>
      <c r="C11" s="1" t="s">
        <v>109</v>
      </c>
      <c r="D11" s="2" t="s">
        <v>112</v>
      </c>
      <c r="E11" s="2" t="s">
        <v>121</v>
      </c>
      <c r="F11" s="1" t="s">
        <v>7</v>
      </c>
      <c r="G11" s="4">
        <v>0.32258064516129031</v>
      </c>
      <c r="H11" s="4">
        <v>0.67741935483870963</v>
      </c>
      <c r="I11" s="7">
        <v>31</v>
      </c>
      <c r="J11" s="2" t="s">
        <v>116</v>
      </c>
    </row>
    <row r="12" spans="1:10" ht="78.75" x14ac:dyDescent="0.4">
      <c r="B12" s="1">
        <v>2</v>
      </c>
      <c r="C12" s="1" t="s">
        <v>110</v>
      </c>
      <c r="D12" s="2" t="s">
        <v>113</v>
      </c>
      <c r="E12" s="2" t="s">
        <v>121</v>
      </c>
      <c r="F12" s="1" t="s">
        <v>7</v>
      </c>
      <c r="G12" s="4">
        <v>0.59375</v>
      </c>
      <c r="H12" s="4">
        <v>0.40625</v>
      </c>
      <c r="I12" s="7">
        <v>32</v>
      </c>
    </row>
    <row r="13" spans="1:10" ht="78.75" x14ac:dyDescent="0.4">
      <c r="B13" s="1">
        <v>3</v>
      </c>
      <c r="C13" s="1" t="s">
        <v>111</v>
      </c>
      <c r="D13" s="2" t="s">
        <v>114</v>
      </c>
      <c r="E13" s="2" t="s">
        <v>121</v>
      </c>
      <c r="F13" s="1" t="s">
        <v>7</v>
      </c>
      <c r="G13" s="4">
        <v>0.70588235294117652</v>
      </c>
      <c r="H13" s="4">
        <v>0.29411764705882354</v>
      </c>
      <c r="I13" s="7">
        <v>34</v>
      </c>
    </row>
    <row r="14" spans="1:10" ht="91.9" x14ac:dyDescent="0.4">
      <c r="A14" s="8"/>
      <c r="B14" s="8">
        <v>4</v>
      </c>
      <c r="C14" s="8" t="s">
        <v>51</v>
      </c>
      <c r="D14" s="9" t="s">
        <v>25</v>
      </c>
      <c r="E14" s="9" t="s">
        <v>121</v>
      </c>
      <c r="F14" s="8" t="s">
        <v>7</v>
      </c>
      <c r="G14" s="10">
        <f>15/50</f>
        <v>0.3</v>
      </c>
      <c r="H14" s="10">
        <f>35/50</f>
        <v>0.7</v>
      </c>
      <c r="I14" s="11">
        <v>50</v>
      </c>
      <c r="J14" s="9" t="s">
        <v>88</v>
      </c>
    </row>
    <row r="15" spans="1:10" ht="78.75" x14ac:dyDescent="0.4">
      <c r="A15" s="8"/>
      <c r="B15" s="8">
        <v>5</v>
      </c>
      <c r="C15" s="8" t="s">
        <v>37</v>
      </c>
      <c r="D15" s="9" t="s">
        <v>6</v>
      </c>
      <c r="E15" s="9" t="s">
        <v>121</v>
      </c>
      <c r="F15" s="8" t="s">
        <v>7</v>
      </c>
      <c r="G15" s="10">
        <f>18/50</f>
        <v>0.36</v>
      </c>
      <c r="H15" s="10">
        <f>32/50</f>
        <v>0.64</v>
      </c>
      <c r="I15" s="11">
        <v>50</v>
      </c>
      <c r="J15" s="9" t="s">
        <v>87</v>
      </c>
    </row>
    <row r="16" spans="1:10" ht="78.75" x14ac:dyDescent="0.4">
      <c r="A16" s="8"/>
      <c r="B16" s="8">
        <v>6</v>
      </c>
      <c r="C16" s="8" t="s">
        <v>41</v>
      </c>
      <c r="D16" s="9" t="s">
        <v>11</v>
      </c>
      <c r="E16" s="9" t="s">
        <v>121</v>
      </c>
      <c r="F16" s="8" t="s">
        <v>7</v>
      </c>
      <c r="G16" s="10">
        <f>30/50</f>
        <v>0.6</v>
      </c>
      <c r="H16" s="10">
        <f>20/50</f>
        <v>0.4</v>
      </c>
      <c r="I16" s="11">
        <v>50</v>
      </c>
      <c r="J16" s="9" t="s">
        <v>87</v>
      </c>
    </row>
    <row r="17" spans="4:10" x14ac:dyDescent="0.4">
      <c r="D17" s="2"/>
      <c r="E17" s="2"/>
    </row>
    <row r="18" spans="4:10" x14ac:dyDescent="0.4">
      <c r="D18" s="2"/>
      <c r="E18" s="2"/>
      <c r="J18" s="2"/>
    </row>
    <row r="19" spans="4:10" x14ac:dyDescent="0.4">
      <c r="D19" s="2"/>
      <c r="E19" s="2"/>
    </row>
    <row r="20" spans="4:10" x14ac:dyDescent="0.4">
      <c r="D20" s="2"/>
      <c r="E20" s="2"/>
    </row>
    <row r="21" spans="4:10" x14ac:dyDescent="0.4">
      <c r="D21" s="2"/>
      <c r="E21" s="2"/>
    </row>
    <row r="22" spans="4:10" x14ac:dyDescent="0.4">
      <c r="D22" s="2"/>
      <c r="E22" s="2"/>
      <c r="J22" s="2"/>
    </row>
    <row r="23" spans="4:10" x14ac:dyDescent="0.4">
      <c r="D23" s="2"/>
      <c r="E23" s="2"/>
    </row>
    <row r="24" spans="4:10" x14ac:dyDescent="0.4">
      <c r="D24" s="2"/>
      <c r="E24" s="2"/>
    </row>
    <row r="25" spans="4:10" x14ac:dyDescent="0.4">
      <c r="D25" s="2"/>
      <c r="E25" s="2"/>
    </row>
    <row r="26" spans="4:10" x14ac:dyDescent="0.4">
      <c r="D26" s="2"/>
      <c r="E26" s="2"/>
    </row>
    <row r="27" spans="4:10" x14ac:dyDescent="0.4">
      <c r="D27" s="2"/>
      <c r="E27" s="2"/>
    </row>
    <row r="28" spans="4:10" x14ac:dyDescent="0.4">
      <c r="D28" s="2"/>
      <c r="E28" s="2"/>
    </row>
    <row r="29" spans="4:10" x14ac:dyDescent="0.4">
      <c r="D29" s="2"/>
      <c r="E29" s="2"/>
    </row>
    <row r="30" spans="4:10" x14ac:dyDescent="0.4">
      <c r="D30" s="2"/>
      <c r="E30" s="2"/>
      <c r="J30" s="2"/>
    </row>
    <row r="31" spans="4:10" x14ac:dyDescent="0.4">
      <c r="D31" s="2"/>
      <c r="E31" s="2"/>
    </row>
    <row r="32" spans="4:10" x14ac:dyDescent="0.4">
      <c r="D32" s="2"/>
      <c r="E32" s="2"/>
    </row>
    <row r="33" spans="4:5" x14ac:dyDescent="0.4">
      <c r="D33" s="2"/>
      <c r="E33" s="2"/>
    </row>
    <row r="34" spans="4:5" x14ac:dyDescent="0.4">
      <c r="D34" s="2"/>
      <c r="E34" s="2"/>
    </row>
    <row r="35" spans="4:5" x14ac:dyDescent="0.4">
      <c r="D35" s="2"/>
      <c r="E35" s="2"/>
    </row>
    <row r="36" spans="4:5" x14ac:dyDescent="0.4">
      <c r="D36" s="2"/>
      <c r="E36" s="2"/>
    </row>
    <row r="37" spans="4:5" x14ac:dyDescent="0.4">
      <c r="D37" s="2"/>
      <c r="E37"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E2C4A-04DD-4398-9C53-676DFA682474}">
  <dimension ref="A1:Q37"/>
  <sheetViews>
    <sheetView zoomScale="80" zoomScaleNormal="80" workbookViewId="0">
      <pane ySplit="1" topLeftCell="A2" activePane="bottomLeft" state="frozen"/>
      <selection pane="bottomLeft" activeCell="I3" sqref="I3"/>
    </sheetView>
  </sheetViews>
  <sheetFormatPr defaultRowHeight="13.15" x14ac:dyDescent="0.4"/>
  <cols>
    <col min="1" max="1" width="54.73046875" style="1" bestFit="1" customWidth="1"/>
    <col min="2" max="2" width="3.796875" style="1" bestFit="1" customWidth="1"/>
    <col min="3" max="3" width="12.46484375" style="1" bestFit="1" customWidth="1"/>
    <col min="4" max="4" width="39.9296875" style="1" customWidth="1"/>
    <col min="5" max="5" width="36.46484375" style="1" bestFit="1" customWidth="1"/>
    <col min="6" max="6" width="13.3984375" style="1" bestFit="1" customWidth="1"/>
    <col min="7" max="7" width="21.73046875" style="4" bestFit="1" customWidth="1"/>
    <col min="8" max="11" width="21.73046875" style="4" customWidth="1"/>
    <col min="12" max="12" width="22.53125" style="4" bestFit="1" customWidth="1"/>
    <col min="13" max="14" width="22.53125" style="4" customWidth="1"/>
    <col min="15" max="15" width="22.796875" style="4" bestFit="1" customWidth="1"/>
    <col min="16" max="16" width="16.46484375" style="7" bestFit="1" customWidth="1"/>
    <col min="17" max="17" width="22.796875" style="1" customWidth="1"/>
    <col min="18" max="16384" width="9.06640625" style="1"/>
  </cols>
  <sheetData>
    <row r="1" spans="1:17" s="3" customFormat="1" ht="12.75" x14ac:dyDescent="0.4">
      <c r="A1" s="3" t="s">
        <v>4</v>
      </c>
      <c r="B1" s="3" t="s">
        <v>0</v>
      </c>
      <c r="C1" s="3" t="s">
        <v>2</v>
      </c>
      <c r="D1" s="3" t="s">
        <v>1</v>
      </c>
      <c r="E1" s="3" t="s">
        <v>120</v>
      </c>
      <c r="F1" s="3" t="s">
        <v>3</v>
      </c>
      <c r="G1" s="5" t="s">
        <v>145</v>
      </c>
      <c r="H1" s="5" t="s">
        <v>146</v>
      </c>
      <c r="I1" s="5" t="s">
        <v>147</v>
      </c>
      <c r="J1" s="5" t="s">
        <v>148</v>
      </c>
      <c r="K1" s="5" t="s">
        <v>149</v>
      </c>
      <c r="L1" s="5" t="s">
        <v>150</v>
      </c>
      <c r="M1" s="5" t="s">
        <v>151</v>
      </c>
      <c r="N1" s="5" t="s">
        <v>152</v>
      </c>
      <c r="O1" s="5" t="s">
        <v>153</v>
      </c>
      <c r="P1" s="6" t="s">
        <v>86</v>
      </c>
      <c r="Q1" s="3" t="s">
        <v>17</v>
      </c>
    </row>
    <row r="2" spans="1:17" ht="229.5" customHeight="1" x14ac:dyDescent="0.4">
      <c r="A2" s="1" t="s">
        <v>119</v>
      </c>
      <c r="B2" s="1">
        <v>1</v>
      </c>
      <c r="C2" s="1" t="s">
        <v>122</v>
      </c>
      <c r="D2" s="2" t="s">
        <v>124</v>
      </c>
      <c r="E2" s="2" t="s">
        <v>126</v>
      </c>
      <c r="F2" s="1" t="s">
        <v>128</v>
      </c>
      <c r="G2" s="4">
        <v>0.53749999999999998</v>
      </c>
      <c r="H2" s="4">
        <v>0.46250000000000002</v>
      </c>
      <c r="I2" s="4" t="s">
        <v>154</v>
      </c>
      <c r="J2" s="4">
        <v>0.63749999999999996</v>
      </c>
      <c r="K2" s="4">
        <v>0.36249999999999999</v>
      </c>
      <c r="L2" s="4" t="s">
        <v>154</v>
      </c>
      <c r="M2" s="4">
        <v>0.6470588235294118</v>
      </c>
      <c r="N2" s="4">
        <v>0.35294117647058826</v>
      </c>
      <c r="O2" s="4" t="s">
        <v>154</v>
      </c>
      <c r="P2" s="7">
        <v>80</v>
      </c>
      <c r="Q2" s="13" t="s">
        <v>155</v>
      </c>
    </row>
    <row r="3" spans="1:17" ht="228.75" customHeight="1" x14ac:dyDescent="0.4">
      <c r="B3" s="1">
        <v>2</v>
      </c>
      <c r="C3" s="1" t="s">
        <v>123</v>
      </c>
      <c r="D3" s="2" t="s">
        <v>125</v>
      </c>
      <c r="E3" s="2" t="s">
        <v>126</v>
      </c>
      <c r="F3" s="1" t="s">
        <v>128</v>
      </c>
      <c r="G3" s="4">
        <v>0.25</v>
      </c>
      <c r="H3" s="4">
        <v>0.75</v>
      </c>
      <c r="I3" s="4" t="s">
        <v>154</v>
      </c>
      <c r="J3" s="4">
        <v>0.58750000000000002</v>
      </c>
      <c r="K3" s="4">
        <v>0.41249999999999998</v>
      </c>
      <c r="L3" s="4" t="s">
        <v>154</v>
      </c>
      <c r="M3" s="4">
        <v>0.38805970149253732</v>
      </c>
      <c r="N3" s="4">
        <v>0.61194029850746268</v>
      </c>
      <c r="O3" s="4" t="s">
        <v>154</v>
      </c>
      <c r="P3" s="7">
        <v>80</v>
      </c>
      <c r="Q3" s="13" t="s">
        <v>155</v>
      </c>
    </row>
    <row r="4" spans="1:17" ht="233.25" customHeight="1" x14ac:dyDescent="0.4">
      <c r="A4" s="1" t="s">
        <v>127</v>
      </c>
      <c r="B4" s="1">
        <v>1</v>
      </c>
      <c r="C4" s="1" t="s">
        <v>129</v>
      </c>
      <c r="D4" s="2" t="s">
        <v>131</v>
      </c>
      <c r="E4" s="2" t="s">
        <v>126</v>
      </c>
      <c r="F4" s="1" t="s">
        <v>128</v>
      </c>
      <c r="G4" s="4">
        <v>0.38750000000000001</v>
      </c>
      <c r="H4" s="4">
        <v>0.61250000000000004</v>
      </c>
      <c r="I4" s="4" t="s">
        <v>154</v>
      </c>
      <c r="J4" s="4">
        <v>0.55000000000000004</v>
      </c>
      <c r="K4" s="4">
        <v>0.45</v>
      </c>
      <c r="L4" s="4" t="s">
        <v>154</v>
      </c>
      <c r="M4" s="4">
        <v>0.54098360655737709</v>
      </c>
      <c r="N4" s="4">
        <v>0.45901639344262296</v>
      </c>
      <c r="O4" s="4" t="s">
        <v>154</v>
      </c>
      <c r="P4" s="7">
        <v>80</v>
      </c>
      <c r="Q4" s="13" t="s">
        <v>156</v>
      </c>
    </row>
    <row r="5" spans="1:17" ht="231" customHeight="1" x14ac:dyDescent="0.4">
      <c r="B5" s="1">
        <v>2</v>
      </c>
      <c r="C5" s="1" t="s">
        <v>130</v>
      </c>
      <c r="D5" s="2" t="s">
        <v>132</v>
      </c>
      <c r="E5" s="2" t="s">
        <v>126</v>
      </c>
      <c r="F5" s="1" t="s">
        <v>128</v>
      </c>
      <c r="G5" s="12">
        <v>0.17499999999999999</v>
      </c>
      <c r="H5" s="12">
        <v>0.82499999999999996</v>
      </c>
      <c r="I5" s="4" t="s">
        <v>154</v>
      </c>
      <c r="J5" s="4">
        <v>0.41249999999999998</v>
      </c>
      <c r="K5" s="4">
        <v>0.58750000000000002</v>
      </c>
      <c r="L5" s="4" t="s">
        <v>154</v>
      </c>
      <c r="M5" s="4">
        <v>0.31818181818181818</v>
      </c>
      <c r="N5" s="4">
        <v>0.68181818181818177</v>
      </c>
      <c r="O5" s="4" t="s">
        <v>154</v>
      </c>
      <c r="P5" s="7">
        <v>80</v>
      </c>
      <c r="Q5" s="13" t="s">
        <v>156</v>
      </c>
    </row>
    <row r="6" spans="1:17" ht="254.25" customHeight="1" x14ac:dyDescent="0.4">
      <c r="A6" s="1" t="s">
        <v>133</v>
      </c>
      <c r="B6" s="1">
        <v>1</v>
      </c>
      <c r="C6" s="1" t="s">
        <v>134</v>
      </c>
      <c r="D6" s="2" t="s">
        <v>136</v>
      </c>
      <c r="E6" s="2" t="s">
        <v>142</v>
      </c>
      <c r="F6" s="1" t="s">
        <v>128</v>
      </c>
      <c r="G6" s="4">
        <v>0.5</v>
      </c>
      <c r="H6" s="4">
        <v>0.5</v>
      </c>
      <c r="I6" s="4" t="s">
        <v>154</v>
      </c>
      <c r="J6" s="4">
        <v>0.73750000000000004</v>
      </c>
      <c r="K6" s="4">
        <v>0.26250000000000001</v>
      </c>
      <c r="L6" s="4" t="s">
        <v>154</v>
      </c>
      <c r="M6" s="4">
        <v>0.75342465753424659</v>
      </c>
      <c r="N6" s="4">
        <v>0.24657534246575341</v>
      </c>
      <c r="O6" s="4" t="s">
        <v>154</v>
      </c>
      <c r="P6" s="7">
        <v>80</v>
      </c>
      <c r="Q6" s="13" t="s">
        <v>156</v>
      </c>
    </row>
    <row r="7" spans="1:17" ht="253.15" customHeight="1" x14ac:dyDescent="0.4">
      <c r="B7" s="1">
        <v>2</v>
      </c>
      <c r="C7" s="1" t="s">
        <v>135</v>
      </c>
      <c r="D7" s="2" t="s">
        <v>137</v>
      </c>
      <c r="E7" s="2" t="s">
        <v>142</v>
      </c>
      <c r="F7" s="1" t="s">
        <v>128</v>
      </c>
      <c r="G7" s="4">
        <v>0.41249999999999998</v>
      </c>
      <c r="H7" s="4">
        <v>0.58750000000000002</v>
      </c>
      <c r="I7" s="4" t="s">
        <v>154</v>
      </c>
      <c r="J7" s="4">
        <v>0.6875</v>
      </c>
      <c r="K7" s="4">
        <v>0.3125</v>
      </c>
      <c r="L7" s="4" t="s">
        <v>154</v>
      </c>
      <c r="M7" s="4">
        <v>0.61971830985915488</v>
      </c>
      <c r="N7" s="4">
        <v>0.38028169014084506</v>
      </c>
      <c r="O7" s="4" t="s">
        <v>154</v>
      </c>
      <c r="P7" s="7">
        <v>80</v>
      </c>
      <c r="Q7" s="13" t="s">
        <v>156</v>
      </c>
    </row>
    <row r="8" spans="1:17" ht="280.5" customHeight="1" x14ac:dyDescent="0.4">
      <c r="A8" s="1" t="s">
        <v>138</v>
      </c>
      <c r="B8" s="1">
        <v>1</v>
      </c>
      <c r="C8" s="1" t="s">
        <v>139</v>
      </c>
      <c r="D8" s="2" t="s">
        <v>141</v>
      </c>
      <c r="E8" s="2" t="s">
        <v>143</v>
      </c>
      <c r="F8" s="1" t="s">
        <v>128</v>
      </c>
      <c r="G8" s="4">
        <v>0.52500000000000002</v>
      </c>
      <c r="H8" s="4">
        <v>0.42499999999999999</v>
      </c>
      <c r="I8" s="4">
        <v>0.05</v>
      </c>
      <c r="J8" s="4">
        <v>3.7499999999999999E-2</v>
      </c>
      <c r="K8" s="4">
        <v>0.875</v>
      </c>
      <c r="L8" s="4">
        <v>8.7499999999999994E-2</v>
      </c>
      <c r="M8" s="4">
        <v>0.1388888888888889</v>
      </c>
      <c r="N8" s="4">
        <v>0.80555555555555558</v>
      </c>
      <c r="O8" s="4">
        <v>5.5555555555555552E-2</v>
      </c>
      <c r="P8" s="7">
        <v>80</v>
      </c>
      <c r="Q8" s="13" t="s">
        <v>156</v>
      </c>
    </row>
    <row r="9" spans="1:17" ht="249.4" x14ac:dyDescent="0.4">
      <c r="B9" s="1">
        <v>2</v>
      </c>
      <c r="C9" s="1" t="s">
        <v>140</v>
      </c>
      <c r="D9" s="2" t="s">
        <v>144</v>
      </c>
      <c r="E9" s="2" t="s">
        <v>142</v>
      </c>
      <c r="F9" s="1" t="s">
        <v>128</v>
      </c>
      <c r="G9" s="4">
        <v>0.16250000000000001</v>
      </c>
      <c r="H9" s="4">
        <v>0.83750000000000002</v>
      </c>
      <c r="I9" s="4" t="s">
        <v>154</v>
      </c>
      <c r="J9" s="4">
        <v>0.2</v>
      </c>
      <c r="K9" s="4">
        <v>0.8</v>
      </c>
      <c r="L9" s="4" t="s">
        <v>154</v>
      </c>
      <c r="M9" s="4">
        <v>8.4745762711864403E-2</v>
      </c>
      <c r="N9" s="4">
        <v>0.9152542372881356</v>
      </c>
      <c r="O9" s="4" t="s">
        <v>154</v>
      </c>
      <c r="P9" s="7">
        <v>80</v>
      </c>
      <c r="Q9" s="13" t="s">
        <v>156</v>
      </c>
    </row>
    <row r="10" spans="1:17" x14ac:dyDescent="0.4">
      <c r="D10" s="2"/>
      <c r="E10" s="2"/>
      <c r="Q10" s="2"/>
    </row>
    <row r="11" spans="1:17" x14ac:dyDescent="0.4">
      <c r="D11" s="2"/>
      <c r="E11" s="2"/>
      <c r="Q11" s="2"/>
    </row>
    <row r="12" spans="1:17" x14ac:dyDescent="0.4">
      <c r="D12" s="2"/>
      <c r="E12" s="2"/>
    </row>
    <row r="13" spans="1:17" x14ac:dyDescent="0.4">
      <c r="D13" s="2"/>
      <c r="E13" s="2"/>
    </row>
    <row r="14" spans="1:17" x14ac:dyDescent="0.4">
      <c r="D14" s="2"/>
      <c r="E14" s="2"/>
      <c r="Q14" s="2"/>
    </row>
    <row r="15" spans="1:17" x14ac:dyDescent="0.4">
      <c r="D15" s="2"/>
      <c r="E15" s="2"/>
      <c r="Q15" s="2"/>
    </row>
    <row r="16" spans="1:17" x14ac:dyDescent="0.4">
      <c r="D16" s="2"/>
      <c r="E16" s="2"/>
      <c r="Q16" s="2"/>
    </row>
    <row r="17" spans="4:17" x14ac:dyDescent="0.4">
      <c r="D17" s="2"/>
      <c r="E17" s="2"/>
    </row>
    <row r="18" spans="4:17" x14ac:dyDescent="0.4">
      <c r="D18" s="2"/>
      <c r="E18" s="2"/>
      <c r="Q18" s="2"/>
    </row>
    <row r="19" spans="4:17" x14ac:dyDescent="0.4">
      <c r="D19" s="2"/>
      <c r="E19" s="2"/>
    </row>
    <row r="20" spans="4:17" x14ac:dyDescent="0.4">
      <c r="D20" s="2"/>
      <c r="E20" s="2"/>
    </row>
    <row r="21" spans="4:17" x14ac:dyDescent="0.4">
      <c r="D21" s="2"/>
      <c r="E21" s="2"/>
    </row>
    <row r="22" spans="4:17" x14ac:dyDescent="0.4">
      <c r="D22" s="2"/>
      <c r="E22" s="2"/>
      <c r="Q22" s="2"/>
    </row>
    <row r="23" spans="4:17" x14ac:dyDescent="0.4">
      <c r="D23" s="2"/>
      <c r="E23" s="2"/>
    </row>
    <row r="24" spans="4:17" x14ac:dyDescent="0.4">
      <c r="D24" s="2"/>
      <c r="E24" s="2"/>
    </row>
    <row r="25" spans="4:17" x14ac:dyDescent="0.4">
      <c r="D25" s="2"/>
      <c r="E25" s="2"/>
    </row>
    <row r="26" spans="4:17" x14ac:dyDescent="0.4">
      <c r="D26" s="2"/>
      <c r="E26" s="2"/>
    </row>
    <row r="27" spans="4:17" x14ac:dyDescent="0.4">
      <c r="D27" s="2"/>
      <c r="E27" s="2"/>
    </row>
    <row r="28" spans="4:17" x14ac:dyDescent="0.4">
      <c r="D28" s="2"/>
      <c r="E28" s="2"/>
    </row>
    <row r="29" spans="4:17" x14ac:dyDescent="0.4">
      <c r="D29" s="2"/>
      <c r="E29" s="2"/>
    </row>
    <row r="30" spans="4:17" x14ac:dyDescent="0.4">
      <c r="D30" s="2"/>
      <c r="E30" s="2"/>
      <c r="Q30" s="2"/>
    </row>
    <row r="31" spans="4:17" x14ac:dyDescent="0.4">
      <c r="D31" s="2"/>
      <c r="E31" s="2"/>
    </row>
    <row r="32" spans="4:17" x14ac:dyDescent="0.4">
      <c r="D32" s="2"/>
      <c r="E32" s="2"/>
    </row>
    <row r="33" spans="4:5" x14ac:dyDescent="0.4">
      <c r="D33" s="2"/>
      <c r="E33" s="2"/>
    </row>
    <row r="34" spans="4:5" x14ac:dyDescent="0.4">
      <c r="D34" s="2"/>
      <c r="E34" s="2"/>
    </row>
    <row r="35" spans="4:5" x14ac:dyDescent="0.4">
      <c r="D35" s="2"/>
      <c r="E35" s="2"/>
    </row>
    <row r="36" spans="4:5" x14ac:dyDescent="0.4">
      <c r="D36" s="2"/>
      <c r="E36" s="2"/>
    </row>
    <row r="37" spans="4:5" x14ac:dyDescent="0.4">
      <c r="D37" s="2"/>
      <c r="E37" s="2"/>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919A3-2A1B-43AB-A903-1879EB085651}">
  <dimension ref="A1:F36"/>
  <sheetViews>
    <sheetView zoomScale="70" zoomScaleNormal="70" workbookViewId="0">
      <selection activeCell="I17" sqref="I17"/>
    </sheetView>
  </sheetViews>
  <sheetFormatPr defaultRowHeight="13.9" x14ac:dyDescent="0.4"/>
  <cols>
    <col min="1" max="1" width="34" bestFit="1" customWidth="1"/>
    <col min="2" max="2" width="33.06640625" bestFit="1" customWidth="1"/>
    <col min="3" max="3" width="70.59765625" bestFit="1" customWidth="1"/>
  </cols>
  <sheetData>
    <row r="1" spans="1:6" x14ac:dyDescent="0.4">
      <c r="A1" s="25" t="s">
        <v>157</v>
      </c>
      <c r="B1" s="25"/>
      <c r="C1" s="25"/>
    </row>
    <row r="2" spans="1:6" x14ac:dyDescent="0.4">
      <c r="A2" s="25" t="s">
        <v>158</v>
      </c>
      <c r="B2" s="25"/>
      <c r="C2" s="25"/>
    </row>
    <row r="3" spans="1:6" x14ac:dyDescent="0.4">
      <c r="A3" s="15"/>
      <c r="B3" s="15"/>
      <c r="C3" s="15"/>
    </row>
    <row r="4" spans="1:6" x14ac:dyDescent="0.4">
      <c r="A4" s="16" t="s">
        <v>159</v>
      </c>
      <c r="B4" s="16" t="s">
        <v>160</v>
      </c>
      <c r="C4" s="16" t="s">
        <v>161</v>
      </c>
      <c r="D4" s="14"/>
      <c r="E4" s="14"/>
      <c r="F4" s="14"/>
    </row>
    <row r="5" spans="1:6" x14ac:dyDescent="0.4">
      <c r="A5" s="17" t="s">
        <v>162</v>
      </c>
      <c r="B5" s="17" t="s">
        <v>168</v>
      </c>
      <c r="C5" s="18" t="s">
        <v>171</v>
      </c>
      <c r="D5" s="14"/>
      <c r="E5" s="14"/>
      <c r="F5" s="14"/>
    </row>
    <row r="6" spans="1:6" ht="26.25" x14ac:dyDescent="0.4">
      <c r="A6" s="17" t="s">
        <v>163</v>
      </c>
      <c r="B6" s="17" t="s">
        <v>169</v>
      </c>
      <c r="C6" s="18" t="s">
        <v>170</v>
      </c>
      <c r="D6" s="14"/>
      <c r="E6" s="14"/>
      <c r="F6" s="14"/>
    </row>
    <row r="7" spans="1:6" ht="26.25" x14ac:dyDescent="0.4">
      <c r="A7" s="17" t="s">
        <v>164</v>
      </c>
      <c r="B7" s="17" t="s">
        <v>172</v>
      </c>
      <c r="C7" s="18" t="s">
        <v>174</v>
      </c>
      <c r="D7" s="14"/>
      <c r="E7" s="14"/>
      <c r="F7" s="14"/>
    </row>
    <row r="8" spans="1:6" ht="26.25" x14ac:dyDescent="0.4">
      <c r="A8" s="17" t="s">
        <v>165</v>
      </c>
      <c r="B8" s="17" t="s">
        <v>173</v>
      </c>
      <c r="C8" s="18" t="s">
        <v>175</v>
      </c>
      <c r="D8" s="14"/>
      <c r="E8" s="14"/>
      <c r="F8" s="14"/>
    </row>
    <row r="9" spans="1:6" ht="26.25" x14ac:dyDescent="0.4">
      <c r="A9" s="17" t="s">
        <v>166</v>
      </c>
      <c r="B9" s="17" t="s">
        <v>176</v>
      </c>
      <c r="C9" s="18" t="s">
        <v>177</v>
      </c>
      <c r="D9" s="14"/>
      <c r="E9" s="14"/>
      <c r="F9" s="14"/>
    </row>
    <row r="10" spans="1:6" ht="26.25" x14ac:dyDescent="0.4">
      <c r="A10" s="17" t="s">
        <v>167</v>
      </c>
      <c r="B10" s="17" t="s">
        <v>178</v>
      </c>
      <c r="C10" s="18" t="s">
        <v>179</v>
      </c>
      <c r="D10" s="14"/>
      <c r="E10" s="14"/>
      <c r="F10" s="14"/>
    </row>
    <row r="11" spans="1:6" ht="26.25" x14ac:dyDescent="0.4">
      <c r="A11" s="17" t="s">
        <v>181</v>
      </c>
      <c r="B11" s="17" t="s">
        <v>180</v>
      </c>
      <c r="C11" s="18" t="s">
        <v>182</v>
      </c>
      <c r="D11" s="14"/>
      <c r="E11" s="14"/>
      <c r="F11" s="14"/>
    </row>
    <row r="12" spans="1:6" x14ac:dyDescent="0.4">
      <c r="A12" s="14"/>
      <c r="B12" s="14"/>
      <c r="C12" s="14"/>
      <c r="D12" s="14"/>
      <c r="E12" s="14"/>
      <c r="F12" s="14"/>
    </row>
    <row r="13" spans="1:6" x14ac:dyDescent="0.4">
      <c r="A13" s="19" t="s">
        <v>183</v>
      </c>
      <c r="B13" s="2"/>
      <c r="C13" s="2"/>
      <c r="D13" s="14"/>
      <c r="E13" s="14"/>
      <c r="F13" s="14"/>
    </row>
    <row r="14" spans="1:6" x14ac:dyDescent="0.4">
      <c r="A14" s="22" t="s">
        <v>184</v>
      </c>
      <c r="B14" s="22" t="s">
        <v>185</v>
      </c>
      <c r="C14" s="22" t="s">
        <v>186</v>
      </c>
      <c r="D14" s="14"/>
      <c r="E14" s="14"/>
      <c r="F14" s="14"/>
    </row>
    <row r="15" spans="1:6" x14ac:dyDescent="0.4">
      <c r="A15" s="18" t="s">
        <v>187</v>
      </c>
      <c r="B15" s="18" t="s">
        <v>188</v>
      </c>
      <c r="C15" s="18" t="s">
        <v>189</v>
      </c>
      <c r="D15" s="14"/>
      <c r="E15" s="14"/>
      <c r="F15" s="14"/>
    </row>
    <row r="16" spans="1:6" x14ac:dyDescent="0.4">
      <c r="A16" s="18"/>
      <c r="B16" s="18"/>
      <c r="C16" s="18" t="s">
        <v>190</v>
      </c>
      <c r="D16" s="14"/>
      <c r="E16" s="14"/>
      <c r="F16" s="14"/>
    </row>
    <row r="17" spans="1:6" ht="26.25" x14ac:dyDescent="0.4">
      <c r="A17" s="18"/>
      <c r="B17" s="18"/>
      <c r="C17" s="18" t="s">
        <v>191</v>
      </c>
      <c r="D17" s="14"/>
      <c r="E17" s="14"/>
      <c r="F17" s="14"/>
    </row>
    <row r="18" spans="1:6" ht="26.25" x14ac:dyDescent="0.4">
      <c r="A18" s="18" t="s">
        <v>192</v>
      </c>
      <c r="B18" s="18" t="s">
        <v>193</v>
      </c>
      <c r="C18" s="18" t="s">
        <v>194</v>
      </c>
      <c r="D18" s="14"/>
      <c r="E18" s="14"/>
      <c r="F18" s="14"/>
    </row>
    <row r="19" spans="1:6" ht="26.25" x14ac:dyDescent="0.4">
      <c r="A19" s="18"/>
      <c r="B19" s="18"/>
      <c r="C19" s="18" t="s">
        <v>196</v>
      </c>
      <c r="D19" s="14"/>
      <c r="E19" s="14"/>
      <c r="F19" s="14"/>
    </row>
    <row r="20" spans="1:6" ht="26.25" x14ac:dyDescent="0.4">
      <c r="A20" s="18"/>
      <c r="B20" s="18"/>
      <c r="C20" s="18" t="s">
        <v>195</v>
      </c>
      <c r="D20" s="14"/>
      <c r="E20" s="14"/>
      <c r="F20" s="14"/>
    </row>
    <row r="21" spans="1:6" x14ac:dyDescent="0.4">
      <c r="A21" s="18" t="s">
        <v>197</v>
      </c>
      <c r="B21" s="18" t="s">
        <v>198</v>
      </c>
      <c r="C21" s="18" t="s">
        <v>199</v>
      </c>
      <c r="D21" s="14"/>
      <c r="E21" s="14"/>
      <c r="F21" s="14"/>
    </row>
    <row r="22" spans="1:6" x14ac:dyDescent="0.4">
      <c r="A22" s="18"/>
      <c r="B22" s="18"/>
      <c r="C22" s="18" t="s">
        <v>200</v>
      </c>
      <c r="D22" s="14"/>
      <c r="E22" s="14"/>
      <c r="F22" s="14"/>
    </row>
    <row r="23" spans="1:6" x14ac:dyDescent="0.4">
      <c r="A23" s="18"/>
      <c r="B23" s="18"/>
      <c r="C23" s="18" t="s">
        <v>201</v>
      </c>
      <c r="D23" s="14"/>
      <c r="E23" s="14"/>
      <c r="F23" s="14"/>
    </row>
    <row r="24" spans="1:6" ht="26.25" x14ac:dyDescent="0.4">
      <c r="A24" s="18" t="s">
        <v>202</v>
      </c>
      <c r="B24" s="18" t="s">
        <v>203</v>
      </c>
      <c r="C24" s="18" t="s">
        <v>204</v>
      </c>
      <c r="D24" s="14"/>
      <c r="E24" s="14"/>
      <c r="F24" s="14"/>
    </row>
    <row r="25" spans="1:6" x14ac:dyDescent="0.4">
      <c r="A25" s="23"/>
      <c r="B25" s="23"/>
      <c r="C25" s="23" t="s">
        <v>205</v>
      </c>
    </row>
    <row r="26" spans="1:6" x14ac:dyDescent="0.4">
      <c r="A26" s="23"/>
      <c r="B26" s="23"/>
      <c r="C26" s="23" t="s">
        <v>206</v>
      </c>
    </row>
    <row r="27" spans="1:6" ht="27.75" x14ac:dyDescent="0.4">
      <c r="A27" s="23" t="s">
        <v>207</v>
      </c>
      <c r="B27" s="23" t="s">
        <v>208</v>
      </c>
      <c r="C27" s="23" t="s">
        <v>209</v>
      </c>
    </row>
    <row r="28" spans="1:6" x14ac:dyDescent="0.4">
      <c r="A28" s="23"/>
      <c r="B28" s="23"/>
      <c r="C28" s="23" t="s">
        <v>210</v>
      </c>
    </row>
    <row r="29" spans="1:6" x14ac:dyDescent="0.4">
      <c r="A29" s="23"/>
      <c r="B29" s="23"/>
      <c r="C29" s="23" t="s">
        <v>211</v>
      </c>
    </row>
    <row r="30" spans="1:6" x14ac:dyDescent="0.4">
      <c r="A30" s="20"/>
      <c r="B30" s="20"/>
      <c r="C30" s="20"/>
    </row>
    <row r="31" spans="1:6" x14ac:dyDescent="0.4">
      <c r="A31" s="26" t="s">
        <v>212</v>
      </c>
      <c r="B31" s="26"/>
      <c r="C31" s="26"/>
    </row>
    <row r="32" spans="1:6" x14ac:dyDescent="0.4">
      <c r="A32" s="20"/>
      <c r="B32" s="20"/>
      <c r="C32" s="20"/>
    </row>
    <row r="33" spans="1:3" x14ac:dyDescent="0.4">
      <c r="A33" s="21"/>
      <c r="B33" s="21"/>
      <c r="C33" s="21"/>
    </row>
    <row r="34" spans="1:3" x14ac:dyDescent="0.4">
      <c r="A34" s="21"/>
      <c r="B34" s="21"/>
      <c r="C34" s="21"/>
    </row>
    <row r="35" spans="1:3" x14ac:dyDescent="0.4">
      <c r="A35" s="21"/>
      <c r="B35" s="21"/>
      <c r="C35" s="21"/>
    </row>
    <row r="36" spans="1:3" x14ac:dyDescent="0.4">
      <c r="A36" s="21"/>
      <c r="B36" s="21"/>
      <c r="C36" s="21"/>
    </row>
  </sheetData>
  <mergeCells count="3">
    <mergeCell ref="A1:C1"/>
    <mergeCell ref="A2:C2"/>
    <mergeCell ref="A31:C3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3A7AF-DEC4-4D6A-9E49-DD857BFB1106}">
  <dimension ref="A1:C25"/>
  <sheetViews>
    <sheetView tabSelected="1" zoomScale="90" zoomScaleNormal="90" workbookViewId="0">
      <selection activeCell="A23" sqref="A22:A23"/>
    </sheetView>
  </sheetViews>
  <sheetFormatPr defaultRowHeight="13.9" x14ac:dyDescent="0.4"/>
  <cols>
    <col min="1" max="1" width="43.06640625" bestFit="1" customWidth="1"/>
    <col min="2" max="2" width="4.06640625" bestFit="1" customWidth="1"/>
    <col min="3" max="3" width="159.1328125" bestFit="1" customWidth="1"/>
  </cols>
  <sheetData>
    <row r="1" spans="1:3" x14ac:dyDescent="0.4">
      <c r="A1" s="25" t="s">
        <v>213</v>
      </c>
      <c r="B1" s="25"/>
      <c r="C1" s="25"/>
    </row>
    <row r="2" spans="1:3" x14ac:dyDescent="0.4">
      <c r="A2" s="25" t="s">
        <v>214</v>
      </c>
      <c r="B2" s="25"/>
      <c r="C2" s="25"/>
    </row>
    <row r="3" spans="1:3" x14ac:dyDescent="0.4">
      <c r="A3" s="28"/>
      <c r="B3" s="28"/>
      <c r="C3" s="28"/>
    </row>
    <row r="4" spans="1:3" ht="28.5" customHeight="1" x14ac:dyDescent="0.4">
      <c r="A4" s="27" t="s">
        <v>215</v>
      </c>
      <c r="B4" s="27"/>
      <c r="C4" s="27"/>
    </row>
    <row r="5" spans="1:3" x14ac:dyDescent="0.4">
      <c r="A5" s="14"/>
      <c r="B5" s="14"/>
      <c r="C5" s="14"/>
    </row>
    <row r="6" spans="1:3" x14ac:dyDescent="0.4">
      <c r="A6" s="16" t="s">
        <v>216</v>
      </c>
      <c r="B6" s="16" t="s">
        <v>0</v>
      </c>
      <c r="C6" s="16" t="s">
        <v>218</v>
      </c>
    </row>
    <row r="7" spans="1:3" x14ac:dyDescent="0.4">
      <c r="A7" s="17" t="s">
        <v>217</v>
      </c>
      <c r="B7" s="17">
        <v>93</v>
      </c>
      <c r="C7" s="18" t="s">
        <v>220</v>
      </c>
    </row>
    <row r="8" spans="1:3" x14ac:dyDescent="0.4">
      <c r="A8" s="17" t="s">
        <v>219</v>
      </c>
      <c r="B8" s="17">
        <v>6</v>
      </c>
      <c r="C8" s="17" t="s">
        <v>221</v>
      </c>
    </row>
    <row r="9" spans="1:3" x14ac:dyDescent="0.4">
      <c r="A9" s="17" t="s">
        <v>222</v>
      </c>
      <c r="B9" s="17">
        <v>7</v>
      </c>
      <c r="C9" s="17" t="s">
        <v>223</v>
      </c>
    </row>
    <row r="10" spans="1:3" x14ac:dyDescent="0.4">
      <c r="A10" s="14"/>
      <c r="B10" s="14"/>
      <c r="C10" s="14"/>
    </row>
    <row r="11" spans="1:3" x14ac:dyDescent="0.4">
      <c r="A11" s="29" t="s">
        <v>224</v>
      </c>
      <c r="B11" s="29"/>
      <c r="C11" s="29"/>
    </row>
    <row r="12" spans="1:3" x14ac:dyDescent="0.4">
      <c r="A12" s="14" t="s">
        <v>225</v>
      </c>
      <c r="B12" s="14"/>
      <c r="C12" s="14"/>
    </row>
    <row r="13" spans="1:3" x14ac:dyDescent="0.4">
      <c r="A13" s="14"/>
      <c r="B13" s="14"/>
      <c r="C13" s="14"/>
    </row>
    <row r="14" spans="1:3" x14ac:dyDescent="0.4">
      <c r="A14" s="24" t="s">
        <v>226</v>
      </c>
      <c r="B14" s="14"/>
      <c r="C14" s="24" t="s">
        <v>232</v>
      </c>
    </row>
    <row r="15" spans="1:3" x14ac:dyDescent="0.4">
      <c r="A15" s="14" t="s">
        <v>227</v>
      </c>
      <c r="B15" s="14"/>
      <c r="C15" s="14" t="s">
        <v>233</v>
      </c>
    </row>
    <row r="16" spans="1:3" x14ac:dyDescent="0.4">
      <c r="A16" s="14" t="s">
        <v>231</v>
      </c>
      <c r="B16" s="14"/>
      <c r="C16" s="14"/>
    </row>
    <row r="17" spans="1:3" x14ac:dyDescent="0.4">
      <c r="A17" s="14" t="s">
        <v>228</v>
      </c>
      <c r="B17" s="14"/>
      <c r="C17" s="14"/>
    </row>
    <row r="18" spans="1:3" x14ac:dyDescent="0.4">
      <c r="A18" s="14" t="s">
        <v>229</v>
      </c>
      <c r="B18" s="14"/>
      <c r="C18" s="14"/>
    </row>
    <row r="19" spans="1:3" x14ac:dyDescent="0.4">
      <c r="A19" s="14" t="s">
        <v>230</v>
      </c>
      <c r="B19" s="14"/>
      <c r="C19" s="14"/>
    </row>
    <row r="20" spans="1:3" x14ac:dyDescent="0.4">
      <c r="A20" s="14"/>
      <c r="B20" s="14"/>
      <c r="C20" s="14"/>
    </row>
    <row r="21" spans="1:3" x14ac:dyDescent="0.4">
      <c r="A21" s="14"/>
      <c r="B21" s="14"/>
      <c r="C21" s="14"/>
    </row>
    <row r="22" spans="1:3" x14ac:dyDescent="0.4">
      <c r="A22" s="14"/>
      <c r="B22" s="14"/>
      <c r="C22" s="14"/>
    </row>
    <row r="23" spans="1:3" x14ac:dyDescent="0.4">
      <c r="A23" s="14"/>
      <c r="B23" s="14"/>
      <c r="C23" s="14"/>
    </row>
    <row r="24" spans="1:3" x14ac:dyDescent="0.4">
      <c r="A24" s="14"/>
      <c r="B24" s="14"/>
      <c r="C24" s="14"/>
    </row>
    <row r="25" spans="1:3" x14ac:dyDescent="0.4">
      <c r="A25" s="14"/>
      <c r="B25" s="14"/>
      <c r="C25" s="14"/>
    </row>
  </sheetData>
  <mergeCells count="5">
    <mergeCell ref="A1:C1"/>
    <mergeCell ref="A2:C2"/>
    <mergeCell ref="A4:C4"/>
    <mergeCell ref="A3:C3"/>
    <mergeCell ref="A11:C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RiskyChoiceFraming</vt:lpstr>
      <vt:lpstr>DecisionPremise</vt:lpstr>
      <vt:lpstr>DecisionMode</vt:lpstr>
      <vt:lpstr>LifeHistoryVariable</vt:lpstr>
      <vt:lpstr>DictatorGame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肖</dc:creator>
  <cp:lastModifiedBy>枫 肖</cp:lastModifiedBy>
  <dcterms:created xsi:type="dcterms:W3CDTF">2015-06-05T18:19:34Z</dcterms:created>
  <dcterms:modified xsi:type="dcterms:W3CDTF">2026-03-13T07:28:59Z</dcterms:modified>
</cp:coreProperties>
</file>